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A7632A3-519D-4933-B2C9-6BCD7D6B60E9}" xr6:coauthVersionLast="47" xr6:coauthVersionMax="47" xr10:uidLastSave="{00000000-0000-0000-0000-000000000000}"/>
  <bookViews>
    <workbookView xWindow="-110" yWindow="-110" windowWidth="19420" windowHeight="10300" firstSheet="3" activeTab="6" xr2:uid="{00000000-000D-0000-FFFF-FFFF00000000}"/>
  </bookViews>
  <sheets>
    <sheet name="Morphology" sheetId="1" r:id="rId1"/>
    <sheet name="CR Tagged Location" sheetId="2" r:id="rId2"/>
    <sheet name="CR Location" sheetId="3" r:id="rId3"/>
    <sheet name="Tag  ID condition" sheetId="4" r:id="rId4"/>
    <sheet name="track 02總" sheetId="5" r:id="rId5"/>
    <sheet name="「track 02」locatin" sheetId="6" r:id="rId6"/>
    <sheet name="「「track 02總」編輯" sheetId="7" r:id="rId7"/>
    <sheet name="random data" sheetId="8" r:id="rId8"/>
    <sheet name="「「「track 02總」編輯」的副本" sheetId="9" r:id="rId9"/>
    <sheet name="track 02 time definition" sheetId="10" r:id="rId10"/>
    <sheet name="TR other" sheetId="11" r:id="rId11"/>
    <sheet name="TR18" sheetId="12" r:id="rId12"/>
    <sheet name="TR21" sheetId="13" r:id="rId13"/>
    <sheet name="TR22" sheetId="14" r:id="rId14"/>
    <sheet name="TR23" sheetId="15" r:id="rId15"/>
    <sheet name="TR24" sheetId="16" r:id="rId16"/>
    <sheet name="工作表36" sheetId="17" r:id="rId17"/>
    <sheet name="home range 代入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8" i="6" l="1"/>
  <c r="H78" i="6" s="1"/>
  <c r="G77" i="6"/>
  <c r="H77" i="6" s="1"/>
  <c r="G76" i="6"/>
  <c r="H76" i="6" s="1"/>
  <c r="G75" i="6"/>
  <c r="H75" i="6" s="1"/>
  <c r="G74" i="6"/>
  <c r="H74" i="6" s="1"/>
  <c r="G73" i="6"/>
  <c r="H73" i="6" s="1"/>
  <c r="G72" i="6"/>
  <c r="H72" i="6" s="1"/>
  <c r="G71" i="6"/>
  <c r="H71" i="6" s="1"/>
  <c r="G70" i="6"/>
  <c r="H70" i="6" s="1"/>
  <c r="G69" i="6"/>
  <c r="H69" i="6" s="1"/>
  <c r="G68" i="6"/>
  <c r="H68" i="6" s="1"/>
  <c r="G67" i="6"/>
  <c r="H67" i="6" s="1"/>
  <c r="G66" i="6"/>
  <c r="H66" i="6" s="1"/>
  <c r="G65" i="6"/>
  <c r="H65" i="6" s="1"/>
  <c r="G64" i="6"/>
  <c r="H64" i="6" s="1"/>
  <c r="G63" i="6"/>
  <c r="H63" i="6" s="1"/>
  <c r="G62" i="6"/>
  <c r="H62" i="6" s="1"/>
  <c r="G61" i="6"/>
  <c r="H61" i="6" s="1"/>
  <c r="G60" i="6"/>
  <c r="H60" i="6" s="1"/>
  <c r="G59" i="6"/>
  <c r="H59" i="6" s="1"/>
  <c r="G58" i="6"/>
  <c r="H58" i="6" s="1"/>
  <c r="G57" i="6"/>
  <c r="H57" i="6" s="1"/>
  <c r="G56" i="6"/>
  <c r="H56" i="6" s="1"/>
  <c r="G55" i="6"/>
  <c r="H55" i="6" s="1"/>
  <c r="G54" i="6"/>
  <c r="H54" i="6" s="1"/>
  <c r="G53" i="6"/>
  <c r="H53" i="6" s="1"/>
  <c r="G52" i="6"/>
  <c r="H52" i="6" s="1"/>
  <c r="G51" i="6"/>
  <c r="H51" i="6" s="1"/>
  <c r="G50" i="6"/>
  <c r="H50" i="6" s="1"/>
  <c r="G49" i="6"/>
  <c r="H49" i="6" s="1"/>
  <c r="G48" i="6"/>
  <c r="H48" i="6" s="1"/>
  <c r="G47" i="6"/>
  <c r="H47" i="6" s="1"/>
  <c r="G46" i="6"/>
  <c r="H46" i="6" s="1"/>
  <c r="G45" i="6"/>
  <c r="H45" i="6" s="1"/>
  <c r="G44" i="6"/>
  <c r="H44" i="6" s="1"/>
  <c r="G43" i="6"/>
  <c r="H43" i="6" s="1"/>
  <c r="G42" i="6"/>
  <c r="H42" i="6" s="1"/>
  <c r="G41" i="6"/>
  <c r="H41" i="6" s="1"/>
  <c r="G40" i="6"/>
  <c r="H40" i="6" s="1"/>
  <c r="G39" i="6"/>
  <c r="H39" i="6" s="1"/>
  <c r="G38" i="6"/>
  <c r="H38" i="6" s="1"/>
  <c r="G37" i="6"/>
  <c r="H37" i="6" s="1"/>
  <c r="G36" i="6"/>
  <c r="H36" i="6" s="1"/>
  <c r="G35" i="6"/>
  <c r="H35" i="6" s="1"/>
  <c r="G34" i="6"/>
  <c r="H34" i="6" s="1"/>
  <c r="G33" i="6"/>
  <c r="H33" i="6" s="1"/>
  <c r="G32" i="6"/>
  <c r="H32" i="6" s="1"/>
  <c r="G31" i="6"/>
  <c r="H31" i="6" s="1"/>
  <c r="G30" i="6"/>
  <c r="H30" i="6" s="1"/>
  <c r="G29" i="6"/>
  <c r="H29" i="6" s="1"/>
  <c r="G28" i="6"/>
  <c r="H28" i="6" s="1"/>
  <c r="G27" i="6"/>
  <c r="H27" i="6" s="1"/>
  <c r="G26" i="6"/>
  <c r="H26" i="6" s="1"/>
  <c r="G25" i="6"/>
  <c r="H25" i="6" s="1"/>
  <c r="G23" i="6"/>
  <c r="H23" i="6" s="1"/>
  <c r="G22" i="6"/>
  <c r="H22" i="6" s="1"/>
  <c r="G21" i="6"/>
  <c r="H21" i="6" s="1"/>
  <c r="G20" i="6"/>
  <c r="H20" i="6" s="1"/>
  <c r="G19" i="6"/>
  <c r="H19" i="6" s="1"/>
  <c r="G18" i="6"/>
  <c r="H18" i="6" s="1"/>
  <c r="G17" i="6"/>
  <c r="H17" i="6" s="1"/>
  <c r="G16" i="6"/>
  <c r="H16" i="6" s="1"/>
  <c r="G15" i="6"/>
  <c r="H15" i="6" s="1"/>
  <c r="G14" i="6"/>
  <c r="H14" i="6" s="1"/>
  <c r="G13" i="6"/>
  <c r="H13" i="6" s="1"/>
  <c r="G12" i="6"/>
  <c r="H12" i="6" s="1"/>
  <c r="G11" i="6"/>
  <c r="H11" i="6" s="1"/>
  <c r="G8" i="6"/>
  <c r="H8" i="6" s="1"/>
  <c r="G7" i="6"/>
  <c r="H7" i="6" s="1"/>
  <c r="G6" i="6"/>
  <c r="H6" i="6" s="1"/>
  <c r="G3" i="6"/>
  <c r="H3" i="6" s="1"/>
  <c r="G2" i="6"/>
  <c r="H2" i="6" s="1"/>
  <c r="I18" i="2"/>
  <c r="J18" i="2" s="1"/>
  <c r="I17" i="2"/>
  <c r="J17" i="2" s="1"/>
  <c r="M6" i="2"/>
  <c r="N6" i="2" s="1"/>
  <c r="I15" i="2" l="1"/>
  <c r="J15" i="2" s="1"/>
  <c r="I16" i="2"/>
  <c r="I5" i="2" s="1"/>
  <c r="I8" i="2" l="1"/>
  <c r="I9" i="2"/>
  <c r="J16" i="2"/>
  <c r="J5" i="2" s="1"/>
  <c r="J9" i="2" l="1"/>
  <c r="J8" i="2"/>
  <c r="I12" i="2"/>
  <c r="I10" i="2" s="1"/>
  <c r="I11" i="2" s="1"/>
  <c r="I7" i="2"/>
  <c r="I6" i="2" s="1"/>
  <c r="I14" i="2" s="1"/>
  <c r="I13" i="2" s="1"/>
  <c r="J12" i="2" l="1"/>
  <c r="J10" i="2" s="1"/>
  <c r="J11" i="2" s="1"/>
  <c r="J7" i="2"/>
  <c r="J6" i="2" s="1"/>
  <c r="J14" i="2" s="1"/>
  <c r="J13" i="2" s="1"/>
</calcChain>
</file>

<file path=xl/sharedStrings.xml><?xml version="1.0" encoding="utf-8"?>
<sst xmlns="http://schemas.openxmlformats.org/spreadsheetml/2006/main" count="1832" uniqueCount="236">
  <si>
    <t>Capture_ID</t>
  </si>
  <si>
    <t>Location</t>
  </si>
  <si>
    <t>Individual_ID</t>
  </si>
  <si>
    <t>SVL</t>
  </si>
  <si>
    <t>Tail_length</t>
  </si>
  <si>
    <t>Tail_length_2</t>
  </si>
  <si>
    <t>Head_length</t>
  </si>
  <si>
    <t>Head_width</t>
  </si>
  <si>
    <t>Head_height</t>
  </si>
  <si>
    <t>FL_SH_Joint</t>
  </si>
  <si>
    <t>FL_EL_Joint</t>
  </si>
  <si>
    <t>HL_Hip_Joint</t>
  </si>
  <si>
    <t>HL_Kn_Joint</t>
  </si>
  <si>
    <t>Weight</t>
  </si>
  <si>
    <t>Sex</t>
  </si>
  <si>
    <t>Parasites</t>
  </si>
  <si>
    <t>Tag_Form</t>
  </si>
  <si>
    <t>CR#13</t>
  </si>
  <si>
    <t>華林</t>
  </si>
  <si>
    <t>TR#13</t>
  </si>
  <si>
    <t>F</t>
  </si>
  <si>
    <t>1.5 / 4 cm</t>
  </si>
  <si>
    <t>CR#14</t>
  </si>
  <si>
    <t>TR#14</t>
  </si>
  <si>
    <t>?</t>
  </si>
  <si>
    <t>CR#15</t>
  </si>
  <si>
    <t>TR#15</t>
  </si>
  <si>
    <t>CR#16</t>
  </si>
  <si>
    <t>TR#16</t>
  </si>
  <si>
    <t>CR#17</t>
  </si>
  <si>
    <t>TR#17</t>
  </si>
  <si>
    <t>M</t>
  </si>
  <si>
    <t>CR#18</t>
  </si>
  <si>
    <t>TR#18</t>
  </si>
  <si>
    <t>CR#19</t>
  </si>
  <si>
    <t>TR#19</t>
  </si>
  <si>
    <t>CR#20</t>
  </si>
  <si>
    <t>TR#20</t>
  </si>
  <si>
    <t>CR#21</t>
  </si>
  <si>
    <t>TR#21</t>
  </si>
  <si>
    <t>加上透氣膠帶</t>
  </si>
  <si>
    <t>CR#22</t>
  </si>
  <si>
    <t>TR#22</t>
  </si>
  <si>
    <t>CR#23</t>
  </si>
  <si>
    <t>TR#23</t>
  </si>
  <si>
    <t>CR#24</t>
  </si>
  <si>
    <t>TR#24</t>
  </si>
  <si>
    <t>CR#25</t>
  </si>
  <si>
    <t>TR#25</t>
  </si>
  <si>
    <t>After tracking</t>
  </si>
  <si>
    <t>°</t>
  </si>
  <si>
    <t>ID</t>
  </si>
  <si>
    <t xml:space="preserve"> (N 24.xxxxx)</t>
  </si>
  <si>
    <t>(E 121.xxxxx)</t>
  </si>
  <si>
    <t>Azimuth</t>
  </si>
  <si>
    <t>Tag</t>
  </si>
  <si>
    <t>Dis</t>
  </si>
  <si>
    <t>Env. photo number</t>
  </si>
  <si>
    <t>Lat_new</t>
  </si>
  <si>
    <t>Lon_new</t>
  </si>
  <si>
    <t>as reference</t>
  </si>
  <si>
    <t>Locomotion</t>
  </si>
  <si>
    <t>CR21</t>
  </si>
  <si>
    <t>CR26</t>
  </si>
  <si>
    <t>CR29</t>
  </si>
  <si>
    <t>CR33</t>
  </si>
  <si>
    <t>CR34</t>
  </si>
  <si>
    <t>CR35</t>
  </si>
  <si>
    <t>CR36</t>
  </si>
  <si>
    <t>CR37</t>
  </si>
  <si>
    <t>CR</t>
  </si>
  <si>
    <t>對應 TR</t>
  </si>
  <si>
    <t>NA</t>
  </si>
  <si>
    <t>純地點</t>
  </si>
  <si>
    <t>4m</t>
  </si>
  <si>
    <t>start</t>
  </si>
  <si>
    <t>9/25#01</t>
  </si>
  <si>
    <t>9/25#02</t>
  </si>
  <si>
    <t>9/26#01</t>
  </si>
  <si>
    <t>9/26#02</t>
  </si>
  <si>
    <t>9/27#01</t>
  </si>
  <si>
    <t>9/27#02</t>
  </si>
  <si>
    <t>9/28#01</t>
  </si>
  <si>
    <t>9/28#02</t>
  </si>
  <si>
    <t>9/29#01</t>
  </si>
  <si>
    <t>9/29#02</t>
  </si>
  <si>
    <t>9/30#01</t>
  </si>
  <si>
    <t>9/30#02</t>
  </si>
  <si>
    <t>10/01#01</t>
  </si>
  <si>
    <t>10/01#02</t>
  </si>
  <si>
    <t>time</t>
  </si>
  <si>
    <t>activity &amp; location</t>
  </si>
  <si>
    <t>emvironment condition</t>
  </si>
  <si>
    <t>05:00 ~ 08:00</t>
  </si>
  <si>
    <t>barely move but eyes keep open</t>
  </si>
  <si>
    <t>sun arise but no exposed directly</t>
  </si>
  <si>
    <t>08:00 ~ 16:30</t>
  </si>
  <si>
    <t>move around</t>
  </si>
  <si>
    <t>sun light exposed</t>
  </si>
  <si>
    <t>16:30 ~ night</t>
  </si>
  <si>
    <t>barely move, sleep mode</t>
  </si>
  <si>
    <t>sun set no exposed directly</t>
  </si>
  <si>
    <t>Date</t>
  </si>
  <si>
    <t>2025/09/24~29</t>
  </si>
  <si>
    <t>N</t>
  </si>
  <si>
    <t>color</t>
  </si>
  <si>
    <t>Investigator</t>
  </si>
  <si>
    <t>翊豪</t>
  </si>
  <si>
    <t>mm</t>
  </si>
  <si>
    <t>Date#Trail</t>
  </si>
  <si>
    <t>Num</t>
  </si>
  <si>
    <t>Time(xx:xx)</t>
  </si>
  <si>
    <t>T (C)</t>
  </si>
  <si>
    <t>RH (%)</t>
  </si>
  <si>
    <t>Lum (lux)</t>
  </si>
  <si>
    <t>WS</t>
  </si>
  <si>
    <t>(指向) Tag</t>
  </si>
  <si>
    <t>Dis (cm)</t>
  </si>
  <si>
    <t>Behavior description</t>
  </si>
  <si>
    <t>PH (cm)</t>
  </si>
  <si>
    <t>PW (mm)</t>
  </si>
  <si>
    <t>Dis-Front</t>
  </si>
  <si>
    <t>Dis-Left</t>
  </si>
  <si>
    <t>Dis-Right</t>
  </si>
  <si>
    <t>Dis-Back</t>
  </si>
  <si>
    <t>Canopy closure photo N.</t>
  </si>
  <si>
    <t>Perch substrate  sp.</t>
  </si>
  <si>
    <t>Remark</t>
  </si>
  <si>
    <t>09/25#01</t>
  </si>
  <si>
    <t>stay, leave 30 sec later</t>
  </si>
  <si>
    <t>stay, immediately escape when close</t>
  </si>
  <si>
    <t>perch on several 枝條</t>
  </si>
  <si>
    <t>-</t>
  </si>
  <si>
    <t>tag fallen</t>
  </si>
  <si>
    <t>stay, alarm</t>
  </si>
  <si>
    <t>escape when discover, perch on several 枝條</t>
  </si>
  <si>
    <t>15660~&gt;</t>
  </si>
  <si>
    <t>stay, light exposed, slowly get down when sunlight bigger</t>
  </si>
  <si>
    <t>perch on 枝 + 葉*1</t>
  </si>
  <si>
    <t>stay, light exposed</t>
  </si>
  <si>
    <t>14300~&gt;</t>
  </si>
  <si>
    <t>hide in 芒草, 除草之枯葉堆裡</t>
  </si>
  <si>
    <t>basically on ground, 上方大範圍割草覆蓋</t>
  </si>
  <si>
    <t>09/25#02</t>
  </si>
  <si>
    <t>tag fallen, same location as previous</t>
  </si>
  <si>
    <t>alarm, escape when close</t>
  </si>
  <si>
    <t>tag fallen when escape</t>
  </si>
  <si>
    <t>rolling when stuck by 枯枝 when 往下鑽</t>
  </si>
  <si>
    <t>09/25#03</t>
  </si>
  <si>
    <t>sleep</t>
  </si>
  <si>
    <t>09/26 rain until 15:00</t>
  </si>
  <si>
    <t>09/26#01</t>
  </si>
  <si>
    <t>stay</t>
  </si>
  <si>
    <t>raining until 15:00</t>
  </si>
  <si>
    <t>09/26#02</t>
  </si>
  <si>
    <t>&gt;2m</t>
  </si>
  <si>
    <t>09/27#01</t>
  </si>
  <si>
    <t>stay, half of head exposes light</t>
  </si>
  <si>
    <t>09/27#02</t>
  </si>
  <si>
    <t>Stay, same 姿勢as sleep</t>
  </si>
  <si>
    <t>09271659#4700</t>
  </si>
  <si>
    <t>09271704#4702</t>
  </si>
  <si>
    <t>09/27#03</t>
  </si>
  <si>
    <t>09/28#01</t>
  </si>
  <si>
    <t>rain until 13:00</t>
  </si>
  <si>
    <t xml:space="preserve"> </t>
  </si>
  <si>
    <t>perch on 莖</t>
  </si>
  <si>
    <t>09/28#02</t>
  </si>
  <si>
    <t>09/29#01</t>
  </si>
  <si>
    <t>16400~&gt;</t>
  </si>
  <si>
    <t>move to loght 直射區, stay</t>
  </si>
  <si>
    <t xml:space="preserve">小幅移動，原棲點附近徘徊 </t>
  </si>
  <si>
    <t>6770~18660</t>
  </si>
  <si>
    <t>in shadow, 頭部前1/3 exposed light</t>
  </si>
  <si>
    <t>close to TR#18, on 複合植物種上</t>
  </si>
  <si>
    <t>&gt;</t>
  </si>
  <si>
    <t>stay, 全身exposed light</t>
  </si>
  <si>
    <t>close to TR#23</t>
  </si>
  <si>
    <t xml:space="preserve">move, alarm </t>
  </si>
  <si>
    <t>藏於枯葉堆中(高26.5cm之層)</t>
  </si>
  <si>
    <t>stay, 眼微閉</t>
  </si>
  <si>
    <t>discover when escapeㄝ, 藏榆樹之密區中, hard to find +測量</t>
  </si>
  <si>
    <t>09/29#02</t>
  </si>
  <si>
    <t>stay, alarmed, escape</t>
  </si>
  <si>
    <t>撥開枝葉才發現, then escape when discovered</t>
  </si>
  <si>
    <t>on the ground, 上方覆蓋茂密枯草層</t>
  </si>
  <si>
    <t>採植物干擾到, then escape when discovered</t>
  </si>
  <si>
    <t>stay, alarmed</t>
  </si>
  <si>
    <t>09/29#03</t>
  </si>
  <si>
    <t>close to 18</t>
  </si>
  <si>
    <t>close to 22</t>
  </si>
  <si>
    <t>深入大芒草區, hard to 量測</t>
  </si>
  <si>
    <t>大芒草區，底有一層枯草</t>
  </si>
  <si>
    <t>09/30#01</t>
  </si>
  <si>
    <t>exactly</t>
  </si>
  <si>
    <t>exactly same place as pre</t>
  </si>
  <si>
    <t>stay, escape</t>
  </si>
  <si>
    <t>*forgot sor</t>
  </si>
  <si>
    <t>same perch place as pre, 小幅移動</t>
  </si>
  <si>
    <t>6:8</t>
  </si>
  <si>
    <t>almost same place as pre, 下潛至茂密草叢區</t>
  </si>
  <si>
    <t>almost same place as pre</t>
  </si>
  <si>
    <t>09/30#02</t>
  </si>
  <si>
    <t>stay, 眼睛微閉</t>
  </si>
  <si>
    <t>大芒草區深處, hard to 量測</t>
  </si>
  <si>
    <t>escape when discover, rolling, 從枯草底層竄出來</t>
  </si>
  <si>
    <t>枯草卡在線圈中</t>
  </si>
  <si>
    <t>stay, alarmed escape</t>
  </si>
  <si>
    <t>1/2 body 懸空</t>
  </si>
  <si>
    <t>09/30#03</t>
  </si>
  <si>
    <t>exactly same placr as pre</t>
  </si>
  <si>
    <t>大芒草區, hard to 測量</t>
  </si>
  <si>
    <t>09/30#04</t>
  </si>
  <si>
    <t>almost exact same place as pre</t>
  </si>
  <si>
    <t>*</t>
  </si>
  <si>
    <t>stay, sun exposed</t>
  </si>
  <si>
    <t>8250~-</t>
  </si>
  <si>
    <t>escape when discover, rollong</t>
  </si>
  <si>
    <t>tag 變形, in 茂密草叢 hard to find</t>
  </si>
  <si>
    <t>hard to find and 測量, knowing 大致位置only (1m</t>
  </si>
  <si>
    <t>stay, sleep motion</t>
  </si>
  <si>
    <t>tag fallen 個體</t>
  </si>
  <si>
    <t>10/01#03</t>
  </si>
  <si>
    <t>tag</t>
  </si>
  <si>
    <t>lat</t>
  </si>
  <si>
    <t>long</t>
  </si>
  <si>
    <t>Lat</t>
  </si>
  <si>
    <t>Long</t>
  </si>
  <si>
    <t>Dis-N</t>
  </si>
  <si>
    <t>Dis-E</t>
  </si>
  <si>
    <t>Dis-S</t>
  </si>
  <si>
    <t>Dis-W</t>
  </si>
  <si>
    <t>type</t>
  </si>
  <si>
    <t>day</t>
  </si>
  <si>
    <t>night</t>
  </si>
  <si>
    <t>Dis (cm) -Tag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</si>
</sst>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"/>
    <numFmt numFmtId="177" formatCode="m\-d"/>
  </numFmts>
  <fonts count="24">
    <font>
      <sz val="10"/>
      <color rgb="FF000000"/>
      <name val="Arial"/>
      <scheme val="minor"/>
    </font>
    <font>
      <b/>
      <sz val="10"/>
      <color theme="1"/>
      <name val="Arial"/>
    </font>
    <font>
      <b/>
      <sz val="9"/>
      <color theme="1"/>
      <name val="Helvetica Neue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theme="1"/>
      <name val="&quot;新細明體&quot;"/>
      <family val="3"/>
      <charset val="136"/>
    </font>
    <font>
      <sz val="12"/>
      <color theme="1"/>
      <name val="Arial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14"/>
      <color theme="1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/>
    <xf numFmtId="0" fontId="3" fillId="3" borderId="4" xfId="0" applyFont="1" applyFill="1" applyBorder="1" applyAlignment="1">
      <alignment horizontal="center"/>
    </xf>
    <xf numFmtId="49" fontId="4" fillId="0" borderId="0" xfId="0" applyNumberFormat="1" applyFont="1"/>
    <xf numFmtId="0" fontId="4" fillId="0" borderId="0" xfId="0" applyFont="1"/>
    <xf numFmtId="0" fontId="3" fillId="2" borderId="3" xfId="0" applyFont="1" applyFill="1" applyBorder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1" xfId="0" applyFont="1" applyBorder="1"/>
    <xf numFmtId="0" fontId="6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176" fontId="4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11" fillId="0" borderId="8" xfId="0" applyFont="1" applyBorder="1" applyAlignment="1">
      <alignment horizontal="center" vertical="top"/>
    </xf>
    <xf numFmtId="0" fontId="3" fillId="0" borderId="8" xfId="0" applyFont="1" applyBorder="1" applyAlignment="1">
      <alignment vertical="top"/>
    </xf>
    <xf numFmtId="0" fontId="11" fillId="0" borderId="6" xfId="0" applyFont="1" applyBorder="1" applyAlignment="1">
      <alignment horizontal="center" vertical="top"/>
    </xf>
    <xf numFmtId="0" fontId="3" fillId="0" borderId="6" xfId="0" applyFont="1" applyBorder="1" applyAlignment="1">
      <alignment vertical="top"/>
    </xf>
    <xf numFmtId="0" fontId="13" fillId="0" borderId="0" xfId="0" applyFont="1"/>
    <xf numFmtId="0" fontId="11" fillId="0" borderId="12" xfId="0" applyFont="1" applyBorder="1" applyAlignment="1">
      <alignment horizontal="center" vertical="top"/>
    </xf>
    <xf numFmtId="0" fontId="3" fillId="0" borderId="12" xfId="0" applyFont="1" applyBorder="1" applyAlignment="1">
      <alignment vertical="top"/>
    </xf>
    <xf numFmtId="0" fontId="14" fillId="0" borderId="6" xfId="0" applyFont="1" applyBorder="1" applyAlignment="1">
      <alignment horizontal="center"/>
    </xf>
    <xf numFmtId="20" fontId="4" fillId="2" borderId="0" xfId="0" applyNumberFormat="1" applyFont="1" applyFill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15" fillId="6" borderId="6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20" fontId="14" fillId="2" borderId="6" xfId="0" applyNumberFormat="1" applyFont="1" applyFill="1" applyBorder="1" applyAlignment="1">
      <alignment horizontal="center"/>
    </xf>
    <xf numFmtId="0" fontId="14" fillId="0" borderId="7" xfId="0" applyFont="1" applyBorder="1" applyAlignment="1">
      <alignment horizontal="center"/>
    </xf>
    <xf numFmtId="20" fontId="3" fillId="2" borderId="6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0" xfId="0" applyFont="1" applyFill="1"/>
    <xf numFmtId="0" fontId="14" fillId="2" borderId="0" xfId="0" applyFont="1" applyFill="1"/>
    <xf numFmtId="0" fontId="12" fillId="0" borderId="6" xfId="0" applyFont="1" applyBorder="1" applyAlignment="1">
      <alignment horizontal="center"/>
    </xf>
    <xf numFmtId="20" fontId="16" fillId="2" borderId="0" xfId="0" applyNumberFormat="1" applyFont="1" applyFill="1" applyAlignment="1">
      <alignment horizontal="center"/>
    </xf>
    <xf numFmtId="0" fontId="12" fillId="2" borderId="4" xfId="0" applyFont="1" applyFill="1" applyBorder="1" applyAlignment="1">
      <alignment horizontal="center"/>
    </xf>
    <xf numFmtId="20" fontId="12" fillId="2" borderId="6" xfId="0" applyNumberFormat="1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0" borderId="6" xfId="0" applyFont="1" applyBorder="1"/>
    <xf numFmtId="0" fontId="12" fillId="0" borderId="6" xfId="0" applyFont="1" applyBorder="1"/>
    <xf numFmtId="20" fontId="3" fillId="2" borderId="0" xfId="0" applyNumberFormat="1" applyFont="1" applyFill="1" applyAlignment="1">
      <alignment horizontal="center"/>
    </xf>
    <xf numFmtId="177" fontId="3" fillId="0" borderId="6" xfId="0" applyNumberFormat="1" applyFont="1" applyBorder="1"/>
    <xf numFmtId="0" fontId="3" fillId="0" borderId="12" xfId="0" applyFont="1" applyBorder="1" applyAlignment="1">
      <alignment horizontal="center"/>
    </xf>
    <xf numFmtId="0" fontId="3" fillId="0" borderId="12" xfId="0" applyFont="1" applyBorder="1"/>
    <xf numFmtId="0" fontId="3" fillId="2" borderId="1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2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20" fontId="14" fillId="5" borderId="7" xfId="0" applyNumberFormat="1" applyFont="1" applyFill="1" applyBorder="1" applyAlignment="1">
      <alignment horizontal="center"/>
    </xf>
    <xf numFmtId="20" fontId="14" fillId="2" borderId="7" xfId="0" applyNumberFormat="1" applyFont="1" applyFill="1" applyBorder="1" applyAlignment="1">
      <alignment horizontal="center"/>
    </xf>
    <xf numFmtId="20" fontId="3" fillId="2" borderId="7" xfId="0" applyNumberFormat="1" applyFont="1" applyFill="1" applyBorder="1" applyAlignment="1">
      <alignment horizontal="center"/>
    </xf>
    <xf numFmtId="20" fontId="4" fillId="5" borderId="0" xfId="0" applyNumberFormat="1" applyFont="1" applyFill="1" applyAlignment="1">
      <alignment horizontal="center"/>
    </xf>
    <xf numFmtId="20" fontId="16" fillId="5" borderId="0" xfId="0" applyNumberFormat="1" applyFont="1" applyFill="1" applyAlignment="1">
      <alignment horizontal="center"/>
    </xf>
    <xf numFmtId="20" fontId="12" fillId="2" borderId="7" xfId="0" applyNumberFormat="1" applyFont="1" applyFill="1" applyBorder="1" applyAlignment="1">
      <alignment horizontal="center"/>
    </xf>
    <xf numFmtId="20" fontId="3" fillId="5" borderId="0" xfId="0" applyNumberFormat="1" applyFont="1" applyFill="1" applyAlignment="1">
      <alignment horizontal="center"/>
    </xf>
    <xf numFmtId="0" fontId="15" fillId="2" borderId="6" xfId="0" applyFont="1" applyFill="1" applyBorder="1" applyAlignment="1">
      <alignment horizontal="center"/>
    </xf>
    <xf numFmtId="20" fontId="14" fillId="2" borderId="0" xfId="0" applyNumberFormat="1" applyFont="1" applyFill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7" xfId="0" applyFont="1" applyBorder="1"/>
    <xf numFmtId="20" fontId="14" fillId="9" borderId="0" xfId="0" applyNumberFormat="1" applyFont="1" applyFill="1" applyAlignment="1">
      <alignment horizontal="center"/>
    </xf>
    <xf numFmtId="20" fontId="16" fillId="9" borderId="0" xfId="0" applyNumberFormat="1" applyFont="1" applyFill="1" applyAlignment="1">
      <alignment horizontal="center"/>
    </xf>
    <xf numFmtId="20" fontId="3" fillId="9" borderId="0" xfId="0" applyNumberFormat="1" applyFont="1" applyFill="1" applyAlignment="1">
      <alignment horizontal="center"/>
    </xf>
    <xf numFmtId="20" fontId="4" fillId="9" borderId="0" xfId="0" applyNumberFormat="1" applyFont="1" applyFill="1" applyAlignment="1">
      <alignment horizontal="center"/>
    </xf>
    <xf numFmtId="20" fontId="4" fillId="2" borderId="6" xfId="0" applyNumberFormat="1" applyFont="1" applyFill="1" applyBorder="1" applyAlignment="1">
      <alignment horizontal="center"/>
    </xf>
    <xf numFmtId="20" fontId="4" fillId="9" borderId="6" xfId="0" applyNumberFormat="1" applyFont="1" applyFill="1" applyBorder="1" applyAlignment="1">
      <alignment horizontal="center"/>
    </xf>
    <xf numFmtId="20" fontId="16" fillId="9" borderId="6" xfId="0" applyNumberFormat="1" applyFont="1" applyFill="1" applyBorder="1" applyAlignment="1">
      <alignment horizontal="center"/>
    </xf>
    <xf numFmtId="20" fontId="12" fillId="2" borderId="0" xfId="0" applyNumberFormat="1" applyFont="1" applyFill="1" applyAlignment="1">
      <alignment horizontal="center"/>
    </xf>
    <xf numFmtId="20" fontId="12" fillId="9" borderId="6" xfId="0" applyNumberFormat="1" applyFont="1" applyFill="1" applyBorder="1" applyAlignment="1">
      <alignment horizontal="center"/>
    </xf>
    <xf numFmtId="20" fontId="16" fillId="2" borderId="6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/>
    <xf numFmtId="0" fontId="4" fillId="0" borderId="8" xfId="0" applyFont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4" fillId="0" borderId="1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5" xfId="0" applyFont="1" applyBorder="1"/>
    <xf numFmtId="0" fontId="4" fillId="0" borderId="11" xfId="0" applyFont="1" applyBorder="1" applyAlignment="1">
      <alignment horizontal="center"/>
    </xf>
    <xf numFmtId="0" fontId="8" fillId="0" borderId="9" xfId="0" applyFont="1" applyBorder="1"/>
    <xf numFmtId="0" fontId="4" fillId="0" borderId="7" xfId="0" applyFont="1" applyBorder="1" applyAlignment="1">
      <alignment horizontal="center"/>
    </xf>
    <xf numFmtId="0" fontId="8" fillId="0" borderId="4" xfId="0" applyFont="1" applyBorder="1"/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left"/>
    </xf>
    <xf numFmtId="0" fontId="3" fillId="2" borderId="7" xfId="0" applyFont="1" applyFill="1" applyBorder="1" applyAlignment="1">
      <alignment horizontal="center"/>
    </xf>
    <xf numFmtId="0" fontId="3" fillId="2" borderId="7" xfId="0" applyFont="1" applyFill="1" applyBorder="1"/>
    <xf numFmtId="0" fontId="14" fillId="4" borderId="7" xfId="0" applyFont="1" applyFill="1" applyBorder="1"/>
    <xf numFmtId="0" fontId="3" fillId="2" borderId="13" xfId="0" applyFont="1" applyFill="1" applyBorder="1" applyAlignment="1">
      <alignment horizontal="center"/>
    </xf>
    <xf numFmtId="0" fontId="8" fillId="0" borderId="3" xfId="0" applyFont="1" applyBorder="1"/>
    <xf numFmtId="0" fontId="3" fillId="2" borderId="13" xfId="0" applyFont="1" applyFill="1" applyBorder="1"/>
    <xf numFmtId="0" fontId="8" fillId="0" borderId="15" xfId="0" applyFont="1" applyBorder="1"/>
    <xf numFmtId="0" fontId="14" fillId="2" borderId="7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2" fillId="2" borderId="7" xfId="0" applyFont="1" applyFill="1" applyBorder="1"/>
    <xf numFmtId="0" fontId="12" fillId="5" borderId="7" xfId="0" applyFont="1" applyFill="1" applyBorder="1"/>
    <xf numFmtId="0" fontId="14" fillId="2" borderId="7" xfId="0" applyFont="1" applyFill="1" applyBorder="1"/>
    <xf numFmtId="0" fontId="12" fillId="7" borderId="7" xfId="0" applyFont="1" applyFill="1" applyBorder="1"/>
    <xf numFmtId="0" fontId="14" fillId="7" borderId="7" xfId="0" applyFont="1" applyFill="1" applyBorder="1"/>
    <xf numFmtId="0" fontId="14" fillId="5" borderId="7" xfId="0" applyFont="1" applyFill="1" applyBorder="1"/>
    <xf numFmtId="0" fontId="8" fillId="0" borderId="14" xfId="0" applyFont="1" applyBorder="1"/>
    <xf numFmtId="0" fontId="3" fillId="0" borderId="8" xfId="0" applyFont="1" applyBorder="1" applyAlignment="1">
      <alignment horizontal="center"/>
    </xf>
    <xf numFmtId="0" fontId="8" fillId="0" borderId="12" xfId="0" applyFont="1" applyBorder="1"/>
    <xf numFmtId="0" fontId="10" fillId="0" borderId="11" xfId="0" applyFont="1" applyBorder="1" applyAlignment="1">
      <alignment horizontal="center"/>
    </xf>
    <xf numFmtId="0" fontId="8" fillId="0" borderId="13" xfId="0" applyFont="1" applyBorder="1"/>
    <xf numFmtId="0" fontId="12" fillId="0" borderId="11" xfId="0" applyFont="1" applyBorder="1"/>
    <xf numFmtId="0" fontId="3" fillId="2" borderId="0" xfId="0" applyFont="1" applyFill="1"/>
    <xf numFmtId="0" fontId="3" fillId="2" borderId="7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/>
    <xf numFmtId="0" fontId="14" fillId="4" borderId="0" xfId="0" applyFont="1" applyFill="1"/>
    <xf numFmtId="0" fontId="7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/>
    </xf>
    <xf numFmtId="0" fontId="4" fillId="0" borderId="7" xfId="0" applyFont="1" applyBorder="1"/>
    <xf numFmtId="0" fontId="14" fillId="0" borderId="11" xfId="0" applyFont="1" applyBorder="1" applyAlignment="1">
      <alignment horizontal="center"/>
    </xf>
    <xf numFmtId="0" fontId="8" fillId="0" borderId="10" xfId="0" applyFont="1" applyBorder="1"/>
    <xf numFmtId="0" fontId="14" fillId="0" borderId="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8" fillId="0" borderId="16" xfId="0" applyFont="1" applyBorder="1"/>
    <xf numFmtId="0" fontId="18" fillId="0" borderId="16" xfId="0" applyFont="1" applyBorder="1" applyAlignment="1">
      <alignment horizontal="center"/>
    </xf>
    <xf numFmtId="20" fontId="19" fillId="2" borderId="16" xfId="0" applyNumberFormat="1" applyFont="1" applyFill="1" applyBorder="1" applyAlignment="1">
      <alignment horizontal="center"/>
    </xf>
    <xf numFmtId="0" fontId="18" fillId="2" borderId="16" xfId="0" applyFont="1" applyFill="1" applyBorder="1" applyAlignment="1">
      <alignment horizontal="center"/>
    </xf>
    <xf numFmtId="0" fontId="18" fillId="2" borderId="16" xfId="0" applyFont="1" applyFill="1" applyBorder="1"/>
    <xf numFmtId="0" fontId="0" fillId="0" borderId="16" xfId="0" applyBorder="1"/>
    <xf numFmtId="0" fontId="20" fillId="2" borderId="16" xfId="0" applyFont="1" applyFill="1" applyBorder="1" applyAlignment="1">
      <alignment horizontal="center"/>
    </xf>
    <xf numFmtId="0" fontId="18" fillId="5" borderId="16" xfId="0" applyFont="1" applyFill="1" applyBorder="1"/>
    <xf numFmtId="0" fontId="21" fillId="6" borderId="16" xfId="0" applyFont="1" applyFill="1" applyBorder="1" applyAlignment="1">
      <alignment horizontal="center"/>
    </xf>
    <xf numFmtId="20" fontId="18" fillId="2" borderId="16" xfId="0" applyNumberFormat="1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8" fillId="2" borderId="16" xfId="0" applyFont="1" applyFill="1" applyBorder="1" applyAlignment="1">
      <alignment horizontal="left"/>
    </xf>
    <xf numFmtId="0" fontId="20" fillId="0" borderId="16" xfId="0" applyFont="1" applyBorder="1" applyAlignment="1">
      <alignment horizontal="center"/>
    </xf>
    <xf numFmtId="0" fontId="19" fillId="0" borderId="16" xfId="0" applyFont="1" applyBorder="1"/>
    <xf numFmtId="0" fontId="18" fillId="7" borderId="16" xfId="0" applyFont="1" applyFill="1" applyBorder="1"/>
    <xf numFmtId="0" fontId="18" fillId="4" borderId="16" xfId="0" applyFont="1" applyFill="1" applyBorder="1"/>
    <xf numFmtId="0" fontId="19" fillId="0" borderId="16" xfId="0" applyFont="1" applyBorder="1" applyAlignment="1">
      <alignment horizontal="center"/>
    </xf>
    <xf numFmtId="0" fontId="20" fillId="0" borderId="16" xfId="0" applyFont="1" applyBorder="1"/>
    <xf numFmtId="177" fontId="19" fillId="0" borderId="16" xfId="0" applyNumberFormat="1" applyFont="1" applyBorder="1"/>
  </cellXfs>
  <cellStyles count="1">
    <cellStyle name="一般" xfId="0" builtinId="0"/>
  </cellStyles>
  <dxfs count="6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'Tag  ID condition'!$A$33:$O$33</c:f>
              <c:strCache>
                <c:ptCount val="15"/>
                <c:pt idx="0">
                  <c:v>start</c:v>
                </c:pt>
                <c:pt idx="1">
                  <c:v>9/25#01</c:v>
                </c:pt>
                <c:pt idx="2">
                  <c:v>9/25#02</c:v>
                </c:pt>
                <c:pt idx="3">
                  <c:v>9/26#01</c:v>
                </c:pt>
                <c:pt idx="4">
                  <c:v>9/26#02</c:v>
                </c:pt>
                <c:pt idx="5">
                  <c:v>9/27#01</c:v>
                </c:pt>
                <c:pt idx="6">
                  <c:v>9/27#02</c:v>
                </c:pt>
                <c:pt idx="7">
                  <c:v>9/28#01</c:v>
                </c:pt>
                <c:pt idx="8">
                  <c:v>9/28#02</c:v>
                </c:pt>
                <c:pt idx="9">
                  <c:v>9/29#01</c:v>
                </c:pt>
                <c:pt idx="10">
                  <c:v>9/29#02</c:v>
                </c:pt>
                <c:pt idx="11">
                  <c:v>9/30#01</c:v>
                </c:pt>
                <c:pt idx="12">
                  <c:v>9/30#02</c:v>
                </c:pt>
                <c:pt idx="13">
                  <c:v>10/01#01</c:v>
                </c:pt>
                <c:pt idx="14">
                  <c:v>10/01#02</c:v>
                </c:pt>
              </c:strCache>
            </c:strRef>
          </c:cat>
          <c:val>
            <c:numRef>
              <c:f>'Tag  ID condition'!$A$34:$O$34</c:f>
              <c:numCache>
                <c:formatCode>General</c:formatCode>
                <c:ptCount val="15"/>
                <c:pt idx="0">
                  <c:v>8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C6-4607-922F-6E12FCA46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585542"/>
        <c:axId val="552028809"/>
      </c:lineChart>
      <c:catAx>
        <c:axId val="4665855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6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600"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layout>
            <c:manualLayout>
              <c:xMode val="edge"/>
              <c:yMode val="edge"/>
              <c:x val="0.10787920673076923"/>
              <c:y val="0.9251243781094526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552028809"/>
        <c:crosses val="autoZero"/>
        <c:auto val="1"/>
        <c:lblAlgn val="ctr"/>
        <c:lblOffset val="100"/>
        <c:noMultiLvlLbl val="1"/>
      </c:catAx>
      <c:valAx>
        <c:axId val="552028809"/>
        <c:scaling>
          <c:orientation val="minMax"/>
          <c:max val="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600" b="0">
                    <a:solidFill>
                      <a:srgbClr val="000000"/>
                    </a:solidFill>
                    <a:latin typeface="+mn-lt"/>
                  </a:defRPr>
                </a:pPr>
                <a:r>
                  <a:rPr sz="1600" b="0">
                    <a:solidFill>
                      <a:srgbClr val="000000"/>
                    </a:solidFill>
                    <a:latin typeface="+mn-lt"/>
                  </a:rPr>
                  <a:t>number of tracked tag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46658554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828675</xdr:colOff>
      <xdr:row>24</xdr:row>
      <xdr:rowOff>38100</xdr:rowOff>
    </xdr:from>
    <xdr:ext cx="6191250" cy="3829050"/>
    <xdr:graphicFrame macro="">
      <xdr:nvGraphicFramePr>
        <xdr:cNvPr id="2" name="Chart 1" title="圖表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4:R22"/>
  <sheetViews>
    <sheetView workbookViewId="0"/>
  </sheetViews>
  <sheetFormatPr defaultColWidth="12.6328125" defaultRowHeight="15.75" customHeight="1"/>
  <sheetData>
    <row r="4" spans="1:18" ht="15.75" customHeight="1">
      <c r="A4" s="1" t="s">
        <v>0</v>
      </c>
      <c r="B4" s="1" t="s">
        <v>1</v>
      </c>
      <c r="C4" s="1" t="s">
        <v>2</v>
      </c>
      <c r="D4" s="2" t="s">
        <v>3</v>
      </c>
      <c r="E4" s="2" t="s">
        <v>4</v>
      </c>
      <c r="F4" s="3" t="s">
        <v>5</v>
      </c>
      <c r="G4" s="2" t="s">
        <v>6</v>
      </c>
      <c r="H4" s="4" t="s">
        <v>7</v>
      </c>
      <c r="I4" s="4" t="s">
        <v>8</v>
      </c>
      <c r="J4" s="5" t="s">
        <v>9</v>
      </c>
      <c r="K4" s="2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</row>
    <row r="5" spans="1:18" ht="15.75" customHeight="1">
      <c r="A5" s="7" t="s">
        <v>17</v>
      </c>
      <c r="B5" s="7" t="s">
        <v>18</v>
      </c>
      <c r="C5" s="8" t="s">
        <v>19</v>
      </c>
      <c r="D5" s="8">
        <v>53.34</v>
      </c>
      <c r="E5" s="8">
        <v>16.04</v>
      </c>
      <c r="F5" s="9">
        <v>131.66999999999999</v>
      </c>
      <c r="G5" s="8">
        <v>12.09</v>
      </c>
      <c r="H5" s="10">
        <v>6.97</v>
      </c>
      <c r="I5" s="11">
        <v>5.82</v>
      </c>
      <c r="J5" s="12">
        <v>5.68</v>
      </c>
      <c r="K5" s="10">
        <v>6.01</v>
      </c>
      <c r="L5" s="10">
        <v>6.79</v>
      </c>
      <c r="M5" s="10">
        <v>6.41</v>
      </c>
      <c r="N5" s="10">
        <v>2.645</v>
      </c>
      <c r="O5" s="10" t="s">
        <v>20</v>
      </c>
      <c r="P5" s="10">
        <v>0</v>
      </c>
      <c r="Q5" s="10" t="s">
        <v>21</v>
      </c>
    </row>
    <row r="6" spans="1:18" ht="15.75" customHeight="1">
      <c r="A6" s="7" t="s">
        <v>22</v>
      </c>
      <c r="B6" s="7" t="s">
        <v>18</v>
      </c>
      <c r="C6" s="8" t="s">
        <v>23</v>
      </c>
      <c r="D6" s="8">
        <v>54.2</v>
      </c>
      <c r="E6" s="8">
        <v>111.22</v>
      </c>
      <c r="F6" s="9" t="s">
        <v>24</v>
      </c>
      <c r="G6" s="8">
        <v>12.74</v>
      </c>
      <c r="H6" s="10">
        <v>6.92</v>
      </c>
      <c r="I6" s="11">
        <v>6.17</v>
      </c>
      <c r="J6" s="8">
        <v>5.94</v>
      </c>
      <c r="K6" s="10">
        <v>6.15</v>
      </c>
      <c r="L6" s="10">
        <v>6.71</v>
      </c>
      <c r="M6" s="10">
        <v>7.07</v>
      </c>
      <c r="N6" s="10">
        <v>2.4809999999999999</v>
      </c>
      <c r="O6" s="10" t="s">
        <v>20</v>
      </c>
      <c r="P6" s="10">
        <v>0</v>
      </c>
      <c r="Q6" s="10" t="s">
        <v>21</v>
      </c>
    </row>
    <row r="7" spans="1:18" ht="15.75" customHeight="1">
      <c r="A7" s="7" t="s">
        <v>25</v>
      </c>
      <c r="B7" s="7" t="s">
        <v>18</v>
      </c>
      <c r="C7" s="8" t="s">
        <v>26</v>
      </c>
      <c r="D7" s="8">
        <v>50.07</v>
      </c>
      <c r="E7" s="8">
        <v>147.58000000000001</v>
      </c>
      <c r="F7" s="13"/>
      <c r="G7" s="8">
        <v>11.82</v>
      </c>
      <c r="H7" s="10">
        <v>6.54</v>
      </c>
      <c r="I7" s="10">
        <v>6.16</v>
      </c>
      <c r="J7" s="10">
        <v>5.49</v>
      </c>
      <c r="K7" s="10">
        <v>5.84</v>
      </c>
      <c r="L7" s="10">
        <v>6.14</v>
      </c>
      <c r="M7" s="10">
        <v>6.46</v>
      </c>
      <c r="N7" s="10">
        <v>2.9369999999999998</v>
      </c>
      <c r="O7" s="10" t="s">
        <v>20</v>
      </c>
      <c r="P7" s="10">
        <v>0</v>
      </c>
      <c r="Q7" s="10" t="s">
        <v>21</v>
      </c>
    </row>
    <row r="8" spans="1:18" ht="15.75" customHeight="1">
      <c r="A8" s="7" t="s">
        <v>27</v>
      </c>
      <c r="B8" s="7" t="s">
        <v>18</v>
      </c>
      <c r="C8" s="8" t="s">
        <v>28</v>
      </c>
      <c r="D8" s="8">
        <v>43.84</v>
      </c>
      <c r="E8" s="8">
        <v>128.5</v>
      </c>
      <c r="F8" s="13"/>
      <c r="G8" s="8">
        <v>11.81</v>
      </c>
      <c r="H8" s="10">
        <v>6.17</v>
      </c>
      <c r="I8" s="10">
        <v>5.87</v>
      </c>
      <c r="J8" s="10">
        <v>5.71</v>
      </c>
      <c r="K8" s="10">
        <v>5.92</v>
      </c>
      <c r="L8" s="10">
        <v>6.31</v>
      </c>
      <c r="M8" s="10">
        <v>6.7</v>
      </c>
      <c r="N8" s="10">
        <v>1.901</v>
      </c>
      <c r="O8" s="10" t="s">
        <v>20</v>
      </c>
      <c r="P8" s="10">
        <v>0</v>
      </c>
      <c r="Q8" s="10" t="s">
        <v>21</v>
      </c>
    </row>
    <row r="9" spans="1:18" ht="15.75" customHeight="1">
      <c r="A9" s="7" t="s">
        <v>29</v>
      </c>
      <c r="B9" s="7" t="s">
        <v>18</v>
      </c>
      <c r="C9" s="8" t="s">
        <v>30</v>
      </c>
      <c r="D9" s="8">
        <v>54.45</v>
      </c>
      <c r="E9" s="8">
        <v>110.12</v>
      </c>
      <c r="F9" s="9" t="s">
        <v>24</v>
      </c>
      <c r="G9" s="8">
        <v>13.78</v>
      </c>
      <c r="H9" s="10">
        <v>7.58</v>
      </c>
      <c r="I9" s="10">
        <v>6.32</v>
      </c>
      <c r="J9" s="10">
        <v>6.72</v>
      </c>
      <c r="K9" s="10">
        <v>6.94</v>
      </c>
      <c r="L9" s="10">
        <v>6.7</v>
      </c>
      <c r="M9" s="10">
        <v>7.19</v>
      </c>
      <c r="N9" s="10">
        <v>2.7650000000000001</v>
      </c>
      <c r="O9" s="10" t="s">
        <v>31</v>
      </c>
      <c r="P9" s="10">
        <v>0</v>
      </c>
      <c r="Q9" s="10" t="s">
        <v>21</v>
      </c>
    </row>
    <row r="10" spans="1:18" ht="15.75" customHeight="1">
      <c r="A10" s="7" t="s">
        <v>32</v>
      </c>
      <c r="B10" s="7" t="s">
        <v>18</v>
      </c>
      <c r="C10" s="8" t="s">
        <v>33</v>
      </c>
      <c r="D10" s="8">
        <v>54.59</v>
      </c>
      <c r="E10" s="8">
        <v>174.49</v>
      </c>
      <c r="F10" s="13"/>
      <c r="G10" s="8">
        <v>14.16</v>
      </c>
      <c r="H10" s="10">
        <v>7.73</v>
      </c>
      <c r="I10" s="10">
        <v>6.45</v>
      </c>
      <c r="J10" s="10">
        <v>6.54</v>
      </c>
      <c r="K10" s="10">
        <v>7.15</v>
      </c>
      <c r="L10" s="10">
        <v>6.93</v>
      </c>
      <c r="M10" s="10">
        <v>7.21</v>
      </c>
      <c r="N10" s="14">
        <v>4.0220000000000002</v>
      </c>
      <c r="O10" s="10" t="s">
        <v>31</v>
      </c>
      <c r="P10" s="10">
        <v>0</v>
      </c>
      <c r="Q10" s="10" t="s">
        <v>21</v>
      </c>
    </row>
    <row r="11" spans="1:18" ht="15.75" customHeight="1">
      <c r="A11" s="7" t="s">
        <v>34</v>
      </c>
      <c r="B11" s="7" t="s">
        <v>18</v>
      </c>
      <c r="C11" s="8" t="s">
        <v>35</v>
      </c>
      <c r="D11" s="8">
        <v>52.32</v>
      </c>
      <c r="E11" s="8">
        <v>50.85</v>
      </c>
      <c r="F11" s="9">
        <v>73.77</v>
      </c>
      <c r="G11" s="8">
        <v>14.51</v>
      </c>
      <c r="H11" s="10">
        <v>7.78</v>
      </c>
      <c r="I11" s="10">
        <v>6.73</v>
      </c>
      <c r="J11" s="10">
        <v>6.3</v>
      </c>
      <c r="K11" s="10">
        <v>7.03</v>
      </c>
      <c r="L11" s="10">
        <v>7.06</v>
      </c>
      <c r="M11" s="10">
        <v>7.38</v>
      </c>
      <c r="N11" s="10">
        <v>3.5609999999999999</v>
      </c>
      <c r="O11" s="10" t="s">
        <v>31</v>
      </c>
      <c r="P11" s="10">
        <v>0</v>
      </c>
      <c r="Q11" s="10" t="s">
        <v>21</v>
      </c>
    </row>
    <row r="12" spans="1:18" ht="15.75" customHeight="1">
      <c r="A12" s="7" t="s">
        <v>36</v>
      </c>
      <c r="B12" s="7" t="s">
        <v>18</v>
      </c>
      <c r="C12" s="8" t="s">
        <v>37</v>
      </c>
      <c r="D12" s="8">
        <v>50.11</v>
      </c>
      <c r="E12" s="8">
        <v>93.64</v>
      </c>
      <c r="F12" s="9" t="s">
        <v>24</v>
      </c>
      <c r="G12" s="8">
        <v>12.8</v>
      </c>
      <c r="H12" s="10">
        <v>7.38</v>
      </c>
      <c r="I12" s="10">
        <v>6.14</v>
      </c>
      <c r="J12" s="10">
        <v>5.8</v>
      </c>
      <c r="K12" s="10">
        <v>6.22</v>
      </c>
      <c r="L12" s="10">
        <v>7.01</v>
      </c>
      <c r="M12" s="10">
        <v>7.66</v>
      </c>
      <c r="N12" s="10">
        <v>2.2829999999999999</v>
      </c>
      <c r="O12" s="10" t="s">
        <v>31</v>
      </c>
      <c r="P12" s="10">
        <v>0</v>
      </c>
      <c r="Q12" s="10" t="s">
        <v>21</v>
      </c>
      <c r="R12" s="15"/>
    </row>
    <row r="13" spans="1:18" ht="15.75" customHeight="1">
      <c r="A13" s="7" t="s">
        <v>38</v>
      </c>
      <c r="B13" s="7" t="s">
        <v>18</v>
      </c>
      <c r="C13" s="8" t="s">
        <v>39</v>
      </c>
      <c r="D13" s="8">
        <v>49.19</v>
      </c>
      <c r="E13" s="8">
        <v>155.97999999999999</v>
      </c>
      <c r="F13" s="9"/>
      <c r="G13" s="8">
        <v>11.99</v>
      </c>
      <c r="H13" s="10">
        <v>7.29</v>
      </c>
      <c r="I13" s="10">
        <v>5.88</v>
      </c>
      <c r="J13" s="10">
        <v>5.0999999999999996</v>
      </c>
      <c r="K13" s="10">
        <v>5.58</v>
      </c>
      <c r="L13" s="10">
        <v>6.3</v>
      </c>
      <c r="M13" s="10">
        <v>6.98</v>
      </c>
      <c r="N13" s="10">
        <v>2.6</v>
      </c>
      <c r="O13" s="10" t="s">
        <v>31</v>
      </c>
      <c r="P13" s="10">
        <v>0</v>
      </c>
      <c r="Q13" s="10" t="s">
        <v>21</v>
      </c>
      <c r="R13" s="16" t="s">
        <v>40</v>
      </c>
    </row>
    <row r="14" spans="1:18" ht="15.75" customHeight="1">
      <c r="A14" s="7" t="s">
        <v>41</v>
      </c>
      <c r="B14" s="7" t="s">
        <v>18</v>
      </c>
      <c r="C14" s="8" t="s">
        <v>42</v>
      </c>
      <c r="D14" s="8">
        <v>49.71</v>
      </c>
      <c r="E14" s="8">
        <v>150.22999999999999</v>
      </c>
      <c r="F14" s="9"/>
      <c r="G14" s="8">
        <v>12.2</v>
      </c>
      <c r="H14" s="10">
        <v>7.24</v>
      </c>
      <c r="I14" s="10">
        <v>5.41</v>
      </c>
      <c r="J14" s="10">
        <v>5.27</v>
      </c>
      <c r="K14" s="10">
        <v>5.75</v>
      </c>
      <c r="L14" s="10">
        <v>6.8</v>
      </c>
      <c r="M14" s="10">
        <v>7.05</v>
      </c>
      <c r="N14" s="10">
        <v>2.5099999999999998</v>
      </c>
      <c r="O14" s="10" t="s">
        <v>31</v>
      </c>
      <c r="P14" s="10">
        <v>0</v>
      </c>
      <c r="Q14" s="10" t="s">
        <v>21</v>
      </c>
      <c r="R14" s="16" t="s">
        <v>40</v>
      </c>
    </row>
    <row r="15" spans="1:18" ht="15.75" customHeight="1">
      <c r="A15" s="7" t="s">
        <v>43</v>
      </c>
      <c r="B15" s="7" t="s">
        <v>18</v>
      </c>
      <c r="C15" s="8" t="s">
        <v>44</v>
      </c>
      <c r="D15" s="8">
        <v>55.03</v>
      </c>
      <c r="E15" s="8">
        <v>115.73</v>
      </c>
      <c r="F15" s="9"/>
      <c r="G15" s="8">
        <v>13.35</v>
      </c>
      <c r="H15" s="10">
        <v>7.91</v>
      </c>
      <c r="I15" s="10">
        <v>6.35</v>
      </c>
      <c r="J15" s="10">
        <v>6.37</v>
      </c>
      <c r="K15" s="10">
        <v>6.74</v>
      </c>
      <c r="L15" s="10">
        <v>7.7</v>
      </c>
      <c r="M15" s="10">
        <v>7.98</v>
      </c>
      <c r="N15" s="10">
        <v>3.4329999999999998</v>
      </c>
      <c r="O15" s="10" t="s">
        <v>31</v>
      </c>
      <c r="P15" s="10">
        <v>0</v>
      </c>
      <c r="Q15" s="10" t="s">
        <v>21</v>
      </c>
      <c r="R15" s="16" t="s">
        <v>40</v>
      </c>
    </row>
    <row r="16" spans="1:18" ht="15.75" customHeight="1">
      <c r="A16" s="7" t="s">
        <v>45</v>
      </c>
      <c r="B16" s="7" t="s">
        <v>18</v>
      </c>
      <c r="C16" s="8" t="s">
        <v>46</v>
      </c>
      <c r="D16" s="8">
        <v>50.73</v>
      </c>
      <c r="E16" s="8">
        <v>43.64</v>
      </c>
      <c r="F16" s="9">
        <v>53.86</v>
      </c>
      <c r="G16" s="8">
        <v>11.61</v>
      </c>
      <c r="H16" s="10">
        <v>6.2</v>
      </c>
      <c r="I16" s="10">
        <v>6.25</v>
      </c>
      <c r="J16" s="10">
        <v>5.65</v>
      </c>
      <c r="K16" s="10">
        <v>5.81</v>
      </c>
      <c r="L16" s="10">
        <v>7.04</v>
      </c>
      <c r="M16" s="10">
        <v>7.43</v>
      </c>
      <c r="N16" s="10">
        <v>2.2970000000000002</v>
      </c>
      <c r="O16" s="10" t="s">
        <v>20</v>
      </c>
      <c r="P16" s="10">
        <v>0</v>
      </c>
      <c r="Q16" s="10" t="s">
        <v>21</v>
      </c>
      <c r="R16" s="16" t="s">
        <v>40</v>
      </c>
    </row>
    <row r="17" spans="1:18" ht="15.75" customHeight="1">
      <c r="A17" s="17" t="s">
        <v>47</v>
      </c>
      <c r="B17" s="7" t="s">
        <v>18</v>
      </c>
      <c r="C17" s="8" t="s">
        <v>48</v>
      </c>
      <c r="D17" s="8">
        <v>48.46</v>
      </c>
      <c r="E17" s="8">
        <v>141.16999999999999</v>
      </c>
      <c r="F17" s="9"/>
      <c r="G17" s="8">
        <v>11.19</v>
      </c>
      <c r="H17" s="10">
        <v>6.41</v>
      </c>
      <c r="I17" s="10">
        <v>5.46</v>
      </c>
      <c r="J17" s="10">
        <v>5.54</v>
      </c>
      <c r="K17" s="10">
        <v>5.87</v>
      </c>
      <c r="L17" s="10">
        <v>5.7</v>
      </c>
      <c r="M17" s="10">
        <v>6.41</v>
      </c>
      <c r="N17" s="10">
        <v>2.169</v>
      </c>
      <c r="O17" s="10" t="s">
        <v>20</v>
      </c>
      <c r="P17" s="10">
        <v>0</v>
      </c>
      <c r="Q17" s="10" t="s">
        <v>21</v>
      </c>
      <c r="R17" s="16" t="s">
        <v>40</v>
      </c>
    </row>
    <row r="20" spans="1:18" ht="12.5">
      <c r="A20" s="16" t="s">
        <v>49</v>
      </c>
    </row>
    <row r="21" spans="1:18" ht="12.5">
      <c r="A21" s="16">
        <v>18</v>
      </c>
      <c r="B21" s="16">
        <v>21</v>
      </c>
      <c r="C21" s="16">
        <v>22</v>
      </c>
    </row>
    <row r="22" spans="1:18" ht="12.5">
      <c r="A22" s="16">
        <v>3.9740000000000002</v>
      </c>
      <c r="B22" s="16">
        <v>2.6509999999999998</v>
      </c>
      <c r="C22" s="16">
        <v>2.7280000000000002</v>
      </c>
    </row>
  </sheetData>
  <phoneticPr fontId="23" type="noConversion"/>
  <conditionalFormatting sqref="R12">
    <cfRule type="notContainsBlanks" dxfId="5" priority="1">
      <formula>LEN(TRIM(R12))&gt;0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N62"/>
  <sheetViews>
    <sheetView workbookViewId="0"/>
  </sheetViews>
  <sheetFormatPr defaultColWidth="12.6328125" defaultRowHeight="15.75" customHeight="1"/>
  <sheetData>
    <row r="2" spans="1:14" ht="15.75" customHeight="1">
      <c r="C2" s="18" t="s">
        <v>50</v>
      </c>
    </row>
    <row r="4" spans="1:14">
      <c r="A4" s="19" t="s">
        <v>51</v>
      </c>
      <c r="B4" s="20" t="s">
        <v>52</v>
      </c>
      <c r="C4" s="21" t="s">
        <v>53</v>
      </c>
      <c r="D4" s="21" t="s">
        <v>54</v>
      </c>
      <c r="E4" s="22" t="s">
        <v>55</v>
      </c>
      <c r="F4" s="23" t="s">
        <v>56</v>
      </c>
      <c r="G4" s="113" t="s">
        <v>57</v>
      </c>
      <c r="H4" s="114"/>
      <c r="I4" s="16" t="s">
        <v>58</v>
      </c>
      <c r="J4" s="16" t="s">
        <v>59</v>
      </c>
    </row>
    <row r="5" spans="1:14" ht="15.75" customHeight="1">
      <c r="A5" s="24">
        <v>21</v>
      </c>
      <c r="B5" s="25">
        <v>24.891919999999999</v>
      </c>
      <c r="C5" s="25">
        <v>121.56690999999999</v>
      </c>
      <c r="D5" s="25">
        <v>88</v>
      </c>
      <c r="E5" s="25">
        <v>33</v>
      </c>
      <c r="F5" s="26">
        <v>985</v>
      </c>
      <c r="G5" s="115"/>
      <c r="H5" s="116"/>
      <c r="I5" s="27">
        <f>DEGREES(ASIN(SIN(RADIANS(I16))*COS(F5/637100008.8)+COS(RADIANS(I16))*SIN(F5/637100008.8)*COS(RADIANS(MOD(D5+180, 360)))))</f>
        <v>24.891947940172379</v>
      </c>
      <c r="J5" s="27">
        <f>DEGREES(
  RADIANS(J16) + ATAN2(
    COS(F5/637100008.8) - SIN(RADIANS(I16))*SIN(RADIANS(I5)), SIN(RADIANS(MOD(D5+180,360)))*SIN(F5/637100008.8)*COS(RADIANS(I16))
  )
)</f>
        <v>121.56694654183273</v>
      </c>
      <c r="L5" s="16">
        <v>0</v>
      </c>
      <c r="M5" s="16">
        <v>0</v>
      </c>
      <c r="N5" s="16">
        <v>90</v>
      </c>
    </row>
    <row r="6" spans="1:14" ht="15.75" customHeight="1">
      <c r="A6" s="24">
        <v>22</v>
      </c>
      <c r="B6" s="24">
        <v>24.891829999999999</v>
      </c>
      <c r="C6" s="24">
        <v>121.56704000000001</v>
      </c>
      <c r="D6" s="24">
        <v>329</v>
      </c>
      <c r="E6" s="24">
        <v>23</v>
      </c>
      <c r="F6" s="28">
        <v>156.69999999999999</v>
      </c>
      <c r="G6" s="117"/>
      <c r="H6" s="118"/>
      <c r="I6" s="27">
        <f t="shared" ref="I6:I7" si="0">DEGREES(ASIN(SIN(RADIANS(I7))*COS(F6/637100008.8)+COS(RADIANS(I7))*SIN(F6/637100008.8)*COS(RADIANS(MOD(D6+180, 360)))))</f>
        <v>24.891855371301201</v>
      </c>
      <c r="J6" s="27">
        <f t="shared" ref="J6:J7" si="1">DEGREES(
  RADIANS(J7) + ATAN2(
    COS(F6/637100008.8) - SIN(RADIANS(I7))*SIN(RADIANS(I6)), SIN(RADIANS(MOD(D6+180,360)))*SIN(F6/637100008.8)*COS(RADIANS(I7))
  )
)</f>
        <v>121.56701177788312</v>
      </c>
      <c r="K6" s="16"/>
      <c r="M6" s="16">
        <f>DEGREES(ASIN(SIN(RADIANS(M5))*COS(1000/6371008.8)+COS(RADIANS(M5))*SIN(1000/6371008.8)*COS(RADIANS(MOD(N5-180, 360)))))</f>
        <v>-1.6527014243412626E-18</v>
      </c>
      <c r="N6" s="16">
        <f>DEGREES(
  RADIANS(L5) + ATAN2(
    COS(1000/6371008.8) - SIN(RADIANS(M5))*SIN(RADIANS(M6)), SIN(RADIANS(N5))*SIN(1000/6371008.8)*COS(RADIANS(M5))
  )
)</f>
        <v>8.9932036372453797E-3</v>
      </c>
    </row>
    <row r="7" spans="1:14" ht="15.75" customHeight="1">
      <c r="A7" s="24">
        <v>23</v>
      </c>
      <c r="B7" s="24">
        <v>24.891870000000001</v>
      </c>
      <c r="C7" s="24">
        <v>121.56699999999999</v>
      </c>
      <c r="D7" s="24">
        <v>319</v>
      </c>
      <c r="E7" s="24">
        <v>24</v>
      </c>
      <c r="F7" s="28">
        <v>588</v>
      </c>
      <c r="G7" s="117"/>
      <c r="H7" s="118"/>
      <c r="I7" s="27">
        <f t="shared" si="0"/>
        <v>24.891867450819625</v>
      </c>
      <c r="J7" s="27">
        <f t="shared" si="1"/>
        <v>121.5670037764765</v>
      </c>
    </row>
    <row r="8" spans="1:14" ht="15.75" customHeight="1">
      <c r="A8" s="24">
        <v>24</v>
      </c>
      <c r="B8" s="24">
        <v>24.8919</v>
      </c>
      <c r="C8" s="24">
        <v>121.56698</v>
      </c>
      <c r="D8" s="24">
        <v>337</v>
      </c>
      <c r="E8" s="24">
        <v>21</v>
      </c>
      <c r="F8" s="28">
        <v>490.2</v>
      </c>
      <c r="G8" s="117"/>
      <c r="H8" s="118"/>
      <c r="I8" s="27">
        <f>DEGREES(ASIN(SIN(RADIANS(I5))*COS(F8/637100008.8)+COS(RADIANS(I5))*SIN(F8/637100008.8)*COS(RADIANS(MOD(D8+180, 360)))))</f>
        <v>24.891907359949894</v>
      </c>
      <c r="J8" s="27">
        <f>DEGREES(
  RADIANS(J5) + ATAN2(
    COS(F8/637100008.8) - SIN(RADIANS(I5))*SIN(RADIANS(I8)), SIN(RADIANS(MOD(D8+180,360)))*SIN(F8/637100008.8)*COS(RADIANS(I5))
  )
)</f>
        <v>121.56696553115697</v>
      </c>
    </row>
    <row r="9" spans="1:14" ht="15.75" customHeight="1">
      <c r="A9" s="24">
        <v>25</v>
      </c>
      <c r="B9" s="24">
        <v>24.891940000000002</v>
      </c>
      <c r="C9" s="24">
        <v>121.56689</v>
      </c>
      <c r="D9" s="24">
        <v>94</v>
      </c>
      <c r="E9" s="24">
        <v>21</v>
      </c>
      <c r="F9" s="28">
        <v>959.4</v>
      </c>
      <c r="G9" s="117"/>
      <c r="H9" s="118"/>
      <c r="I9" s="27">
        <f>DEGREES(ASIN(SIN(RADIANS(I5))*COS(F9/637100008.8)+COS(RADIANS(I5))*SIN(F9/637100008.8)*COS(RADIANS(MOD(D9+180, 360)))))</f>
        <v>24.891953958794673</v>
      </c>
      <c r="J9" s="27">
        <f>DEGREES(
  RADIANS(J5) + ATAN2(
    COS(F9/637100008.8) - SIN(RADIANS(I5))*SIN(RADIANS(I9)), SIN(RADIANS(MOD(D9+180,360)))*SIN(F9/637100008.8)*COS(RADIANS(I5))
  )
)</f>
        <v>121.56685165654932</v>
      </c>
    </row>
    <row r="10" spans="1:14" ht="15.75" customHeight="1">
      <c r="A10" s="28">
        <v>26</v>
      </c>
      <c r="B10" s="29">
        <v>24.89188</v>
      </c>
      <c r="C10" s="24">
        <v>121.56692</v>
      </c>
      <c r="D10" s="24">
        <v>128</v>
      </c>
      <c r="E10" s="24">
        <v>28</v>
      </c>
      <c r="F10" s="28">
        <v>259.10000000000002</v>
      </c>
      <c r="G10" s="117"/>
      <c r="H10" s="118"/>
      <c r="I10" s="27">
        <f>DEGREES(ASIN(SIN(RADIANS(I12))*COS(F10/637100008.8)+COS(RADIANS(I12))*SIN(F10/637100008.8)*COS(RADIANS(MOD(D10+180, 360)))))</f>
        <v>24.89190565202702</v>
      </c>
      <c r="J10" s="27">
        <f>DEGREES(
  RADIANS(J12) + ATAN2(
    COS(F10/637100008.8) - SIN(RADIANS(I12))*SIN(RADIANS(I10)), SIN(RADIANS(MOD(D10+180,360)))*SIN(F10/637100008.8)*COS(RADIANS(I12))
  )
)</f>
        <v>121.56691055513724</v>
      </c>
    </row>
    <row r="11" spans="1:14" ht="15.75" customHeight="1">
      <c r="A11" s="24">
        <v>27</v>
      </c>
      <c r="B11" s="24">
        <v>24.89189</v>
      </c>
      <c r="C11" s="24">
        <v>121.56690999999999</v>
      </c>
      <c r="D11" s="24">
        <v>67</v>
      </c>
      <c r="E11" s="24">
        <v>26</v>
      </c>
      <c r="F11" s="28">
        <v>105.5</v>
      </c>
      <c r="G11" s="117"/>
      <c r="H11" s="118"/>
      <c r="I11" s="27">
        <f>DEGREES(ASIN(SIN(RADIANS(I10))*COS(F11/637100008.8)+COS(RADIANS(I10))*SIN(F11/637100008.8)*COS(RADIANS(MOD(D11+180, 360)))))</f>
        <v>24.891901944831186</v>
      </c>
      <c r="J11" s="27">
        <f>DEGREES(
  RADIANS(J10) + ATAN2(
    COS(F11/637100008.8) - SIN(RADIANS(I10))*SIN(RADIANS(I11)), SIN(RADIANS(MOD(D11+180,360)))*SIN(F11/637100008.8)*COS(RADIANS(I10))
  )
)</f>
        <v>121.5669009271232</v>
      </c>
    </row>
    <row r="12" spans="1:14" ht="15.75" customHeight="1">
      <c r="A12" s="24">
        <v>28</v>
      </c>
      <c r="B12" s="24">
        <v>24.891870000000001</v>
      </c>
      <c r="C12" s="24">
        <v>121.56694</v>
      </c>
      <c r="D12" s="24">
        <v>63</v>
      </c>
      <c r="E12" s="24">
        <v>24</v>
      </c>
      <c r="F12" s="24">
        <v>393.2</v>
      </c>
      <c r="G12" s="119"/>
      <c r="H12" s="118"/>
      <c r="I12" s="27">
        <f>DEGREES(ASIN(SIN(RADIANS(I8))*COS(F12/637100008.8)+COS(RADIANS(I8))*SIN(F12/637100008.8)*COS(RADIANS(MOD(D12+180, 360)))))</f>
        <v>24.891891306240236</v>
      </c>
      <c r="J12" s="27">
        <f>DEGREES(
  RADIANS(J8) + ATAN2(
    COS(F12/637100008.8) - SIN(RADIANS(I8))*SIN(RADIANS(I12)), SIN(RADIANS(MOD(D12+180,360)))*SIN(F12/637100008.8)*COS(RADIANS(I8))
  )
)</f>
        <v>121.56693079733867</v>
      </c>
    </row>
    <row r="13" spans="1:14" ht="15.75" customHeight="1">
      <c r="A13" s="24">
        <v>29</v>
      </c>
      <c r="B13" s="24">
        <v>24.891819999999999</v>
      </c>
      <c r="C13" s="24">
        <v>121.5672</v>
      </c>
      <c r="D13" s="24">
        <v>271</v>
      </c>
      <c r="E13" s="24">
        <v>30</v>
      </c>
      <c r="F13" s="24">
        <v>719</v>
      </c>
      <c r="G13" s="119"/>
      <c r="H13" s="118"/>
      <c r="I13" s="27">
        <f>DEGREES(ASIN(SIN(RADIANS(I14))*COS(F13/637100008.8)+COS(RADIANS(I14))*SIN(F13/637100008.8)*COS(RADIANS(MOD(D13+180, 360)))))</f>
        <v>24.891840367625438</v>
      </c>
      <c r="J13" s="27">
        <f>DEGREES(
  RADIANS(J14) + ATAN2(
    COS(F13/637100008.8) - SIN(RADIANS(I14))*SIN(RADIANS(I13)), SIN(RADIANS(MOD(D13+180,360)))*SIN(F13/637100008.8)*COS(RADIANS(I14))
  )
)</f>
        <v>121.56722858222672</v>
      </c>
    </row>
    <row r="14" spans="1:14" ht="15.75" customHeight="1">
      <c r="A14" s="24">
        <v>30</v>
      </c>
      <c r="B14" s="24">
        <v>24.891829999999999</v>
      </c>
      <c r="C14" s="24">
        <v>121.56717</v>
      </c>
      <c r="D14" s="24">
        <v>276</v>
      </c>
      <c r="E14" s="24">
        <v>22</v>
      </c>
      <c r="F14" s="24">
        <v>1476</v>
      </c>
      <c r="G14" s="119"/>
      <c r="H14" s="118"/>
      <c r="I14" s="27">
        <f>DEGREES(ASIN(SIN(RADIANS(I6))*COS(F14/637100008.8)+COS(RADIANS(I6))*SIN(F14/637100008.8)*COS(RADIANS(MOD(D14+180, 360)))))</f>
        <v>24.891841496136305</v>
      </c>
      <c r="J14" s="27">
        <f>DEGREES(
  RADIANS(J6) + ATAN2(
    COS(F14/637100008.8) - SIN(RADIANS(I6))*SIN(RADIANS(I14)), SIN(RADIANS(MOD(D14+180,360)))*SIN(F14/637100008.8)*COS(RADIANS(I6))
  )
)</f>
        <v>121.56715730993953</v>
      </c>
    </row>
    <row r="15" spans="1:14" ht="15.75" customHeight="1">
      <c r="A15" s="24">
        <v>31</v>
      </c>
      <c r="B15" s="24">
        <v>24.892009999999999</v>
      </c>
      <c r="C15" s="24">
        <v>121.56694</v>
      </c>
      <c r="D15" s="24">
        <v>47</v>
      </c>
      <c r="E15" s="24">
        <v>36</v>
      </c>
      <c r="F15" s="24">
        <v>2208</v>
      </c>
      <c r="G15" s="119"/>
      <c r="H15" s="118"/>
      <c r="I15" s="27">
        <f>DEGREES(ASIN(SIN(RADIANS(I18))*COS(F15/637100008.8)+COS(RADIANS(I18))*SIN(F15/637100008.8)*COS(RADIANS(MOD(D15+180, 360)))))</f>
        <v>24.892041338854199</v>
      </c>
      <c r="J15" s="27">
        <f>DEGREES(
  RADIANS(J18) + ATAN2(
    COS(F15/637100008.8) - SIN(RADIANS(I18))*SIN(RADIANS(I15)), SIN(RADIANS(MOD(D15+180,360)))*SIN(F15/637100008.8)*COS(RADIANS(I18))
  )
)</f>
        <v>121.5669229457436</v>
      </c>
    </row>
    <row r="16" spans="1:14" ht="15.75" customHeight="1">
      <c r="A16" s="24">
        <v>33</v>
      </c>
      <c r="B16" s="24">
        <v>24.891919999999999</v>
      </c>
      <c r="C16" s="24">
        <v>121.56701</v>
      </c>
      <c r="D16" s="24">
        <v>49</v>
      </c>
      <c r="E16" s="24">
        <v>34</v>
      </c>
      <c r="F16" s="24">
        <v>1103.8</v>
      </c>
      <c r="G16" s="119"/>
      <c r="H16" s="118"/>
      <c r="I16" s="27">
        <f>DEGREES(ASIN(SIN(RADIANS(I17))*COS(F16/637100008.8)+COS(RADIANS(I17))*SIN(F16/637100008.8)*COS(RADIANS(MOD(D16+180, 360)))))</f>
        <v>24.891951031712406</v>
      </c>
      <c r="J16" s="27">
        <f>DEGREES(
  RADIANS(J17) + ATAN2(
    COS(F16/637100008.8) - SIN(RADIANS(I17))*SIN(RADIANS(I16)), SIN(RADIANS(MOD(D16+180,360)))*SIN(F16/637100008.8)*COS(RADIANS(I17))
  )
)</f>
        <v>121.56704413736196</v>
      </c>
    </row>
    <row r="17" spans="1:10" ht="15.75" customHeight="1">
      <c r="A17" s="24">
        <v>34</v>
      </c>
      <c r="B17" s="24">
        <v>24.89199</v>
      </c>
      <c r="C17" s="24">
        <v>121.56712</v>
      </c>
      <c r="D17" s="24">
        <v>23</v>
      </c>
      <c r="E17" s="24">
        <v>37</v>
      </c>
      <c r="F17" s="24">
        <v>1375.2</v>
      </c>
      <c r="G17" s="119"/>
      <c r="H17" s="118"/>
      <c r="I17" s="27">
        <f>DEGREES(ASIN(SIN(RADIANS(I19))*COS(F17/637100008.8)+COS(RADIANS(I19))*SIN(F17/637100008.8)*COS(RADIANS(MOD(D17+180, 360)))))</f>
        <v>24.892016156823846</v>
      </c>
      <c r="J17" s="27">
        <f>DEGREES(
  RADIANS(J19) + ATAN2(
    COS(F17/637100008.8) - SIN(RADIANS(I19))*SIN(RADIANS(I17)), SIN(RADIANS(MOD(D17+180,360)))*SIN(F17/637100008.8)*COS(RADIANS(I19))
  )
)</f>
        <v>121.56712672757713</v>
      </c>
    </row>
    <row r="18" spans="1:10" ht="12.5">
      <c r="A18" s="24">
        <v>36</v>
      </c>
      <c r="B18" s="24">
        <v>24.892160000000001</v>
      </c>
      <c r="C18" s="24">
        <v>121.56707</v>
      </c>
      <c r="D18" s="24">
        <v>118</v>
      </c>
      <c r="E18" s="24">
        <v>37</v>
      </c>
      <c r="F18" s="24">
        <v>1107.5999999999999</v>
      </c>
      <c r="G18" s="119"/>
      <c r="H18" s="118"/>
      <c r="I18" s="27">
        <f>DEGREES(ASIN(SIN(RADIANS(I19))*COS(F18/637100008.8)+COS(RADIANS(I19))*SIN(F18/637100008.8)*COS(RADIANS(MOD(D18+180, 360)))))</f>
        <v>24.892176763495709</v>
      </c>
      <c r="J18" s="27">
        <f>DEGREES(
  RADIANS(J19) + ATAN2(
    COS(F18/637100008.8) - SIN(RADIANS(I19))*SIN(RADIANS(I18)), SIN(RADIANS(MOD(D18+180,360)))*SIN(F18/637100008.8)*COS(RADIANS(I19))
  )
)</f>
        <v>121.56708304348143</v>
      </c>
    </row>
    <row r="19" spans="1:10" ht="12.5">
      <c r="A19" s="24">
        <v>37</v>
      </c>
      <c r="B19" s="24">
        <v>24.892130000000002</v>
      </c>
      <c r="C19" s="24">
        <v>121.56717999999999</v>
      </c>
      <c r="D19" s="24" t="s">
        <v>60</v>
      </c>
      <c r="E19" s="24"/>
      <c r="F19" s="24"/>
      <c r="G19" s="119"/>
      <c r="H19" s="118"/>
      <c r="I19" s="30">
        <v>24.892130000000002</v>
      </c>
      <c r="J19" s="31">
        <v>121.56717999999999</v>
      </c>
    </row>
    <row r="24" spans="1:10" ht="15.5">
      <c r="A24" s="32" t="s">
        <v>61</v>
      </c>
      <c r="B24" s="20" t="s">
        <v>52</v>
      </c>
      <c r="C24" s="21" t="s">
        <v>53</v>
      </c>
    </row>
    <row r="25" spans="1:10" ht="12.5">
      <c r="A25" s="16" t="s">
        <v>62</v>
      </c>
      <c r="B25" s="16">
        <v>24.891919999999999</v>
      </c>
      <c r="C25" s="16">
        <v>121.56690999999999</v>
      </c>
    </row>
    <row r="26" spans="1:10" ht="12.5">
      <c r="A26" s="16" t="s">
        <v>63</v>
      </c>
      <c r="B26" s="16">
        <v>24.89188</v>
      </c>
      <c r="C26" s="16">
        <v>121.56692</v>
      </c>
    </row>
    <row r="27" spans="1:10" ht="12.5">
      <c r="A27" s="16" t="s">
        <v>64</v>
      </c>
      <c r="B27" s="16">
        <v>24.891819999999999</v>
      </c>
      <c r="C27" s="16">
        <v>121.5672</v>
      </c>
    </row>
    <row r="28" spans="1:10" ht="12.5">
      <c r="A28" s="16" t="s">
        <v>65</v>
      </c>
      <c r="B28" s="16">
        <v>24.891919999999999</v>
      </c>
      <c r="C28" s="16">
        <v>121.56701</v>
      </c>
    </row>
    <row r="29" spans="1:10" ht="12.5">
      <c r="A29" s="16" t="s">
        <v>66</v>
      </c>
      <c r="B29" s="16">
        <v>24.89199</v>
      </c>
      <c r="C29" s="16">
        <v>121.56712</v>
      </c>
    </row>
    <row r="30" spans="1:10" ht="12.5">
      <c r="A30" s="16" t="s">
        <v>67</v>
      </c>
      <c r="B30" s="16">
        <v>24.89207</v>
      </c>
      <c r="C30" s="16">
        <v>121.56703</v>
      </c>
    </row>
    <row r="31" spans="1:10" ht="12.5">
      <c r="A31" s="16" t="s">
        <v>68</v>
      </c>
      <c r="B31" s="16">
        <v>24.892160000000001</v>
      </c>
      <c r="C31" s="16">
        <v>121.56707</v>
      </c>
    </row>
    <row r="32" spans="1:10" ht="12.5">
      <c r="A32" s="16" t="s">
        <v>69</v>
      </c>
      <c r="B32" s="16">
        <v>24.892130000000002</v>
      </c>
      <c r="C32" s="16">
        <v>121.56717999999999</v>
      </c>
    </row>
    <row r="36" spans="1:5" ht="12.5">
      <c r="A36" s="16" t="s">
        <v>70</v>
      </c>
      <c r="E36" s="16" t="s">
        <v>71</v>
      </c>
    </row>
    <row r="37" spans="1:5" ht="12.5">
      <c r="A37" s="28">
        <v>21</v>
      </c>
      <c r="B37" s="16">
        <v>24.891919999999999</v>
      </c>
      <c r="C37" s="16">
        <v>121.56690999999999</v>
      </c>
      <c r="E37" s="16" t="s">
        <v>72</v>
      </c>
    </row>
    <row r="38" spans="1:5" ht="12.5">
      <c r="A38" s="28">
        <v>22</v>
      </c>
      <c r="B38" s="16">
        <v>24.891829999999999</v>
      </c>
      <c r="C38" s="16">
        <v>121.56704000000001</v>
      </c>
      <c r="E38" s="16">
        <v>13</v>
      </c>
    </row>
    <row r="39" spans="1:5" ht="12.5">
      <c r="A39" s="28">
        <v>23</v>
      </c>
      <c r="B39" s="16">
        <v>24.891870000000001</v>
      </c>
      <c r="C39" s="16">
        <v>121.56699999999999</v>
      </c>
      <c r="E39" s="16">
        <v>14</v>
      </c>
    </row>
    <row r="40" spans="1:5" ht="12.5">
      <c r="A40" s="28">
        <v>24</v>
      </c>
      <c r="B40" s="16">
        <v>24.8919</v>
      </c>
      <c r="C40" s="16">
        <v>121.56698</v>
      </c>
      <c r="E40" s="16">
        <v>17</v>
      </c>
    </row>
    <row r="41" spans="1:5" ht="12.5">
      <c r="A41" s="28">
        <v>25</v>
      </c>
      <c r="B41" s="16">
        <v>24.891940000000002</v>
      </c>
      <c r="C41" s="16">
        <v>121.56689</v>
      </c>
      <c r="E41" s="16">
        <v>19</v>
      </c>
    </row>
    <row r="42" spans="1:5" ht="12.5">
      <c r="A42" s="28">
        <v>26</v>
      </c>
      <c r="B42" s="16">
        <v>24.89188</v>
      </c>
      <c r="C42" s="16">
        <v>121.56692</v>
      </c>
      <c r="E42" s="16" t="s">
        <v>72</v>
      </c>
    </row>
    <row r="43" spans="1:5" ht="12.5">
      <c r="A43" s="28">
        <v>27</v>
      </c>
      <c r="B43" s="16">
        <v>24.89189</v>
      </c>
      <c r="C43" s="16">
        <v>121.56690999999999</v>
      </c>
      <c r="E43" s="16">
        <v>15</v>
      </c>
    </row>
    <row r="44" spans="1:5" ht="12.5">
      <c r="A44" s="28">
        <v>28</v>
      </c>
      <c r="B44" s="16">
        <v>24.891870000000001</v>
      </c>
      <c r="C44" s="16">
        <v>121.56694</v>
      </c>
      <c r="E44" s="16">
        <v>18</v>
      </c>
    </row>
    <row r="45" spans="1:5" ht="12.5">
      <c r="A45" s="28">
        <v>29</v>
      </c>
      <c r="B45" s="16">
        <v>24.891819999999999</v>
      </c>
      <c r="C45" s="16">
        <v>121.5672</v>
      </c>
      <c r="E45" s="16" t="s">
        <v>72</v>
      </c>
    </row>
    <row r="46" spans="1:5" ht="12.5">
      <c r="A46" s="28">
        <v>30</v>
      </c>
      <c r="B46" s="16">
        <v>24.891829999999999</v>
      </c>
      <c r="C46" s="16">
        <v>121.56717</v>
      </c>
      <c r="E46" s="16">
        <v>20</v>
      </c>
    </row>
    <row r="47" spans="1:5" ht="12.5">
      <c r="A47" s="28">
        <v>31</v>
      </c>
      <c r="B47" s="16">
        <v>24.892009999999999</v>
      </c>
      <c r="C47" s="16">
        <v>121.56694</v>
      </c>
      <c r="E47" s="16">
        <v>16</v>
      </c>
    </row>
    <row r="48" spans="1:5" ht="12.5">
      <c r="A48" s="28">
        <v>32</v>
      </c>
    </row>
    <row r="50" spans="1:13" ht="12.5">
      <c r="A50" s="16" t="s">
        <v>73</v>
      </c>
      <c r="M50" s="16" t="s">
        <v>74</v>
      </c>
    </row>
    <row r="51" spans="1:13" ht="12.5">
      <c r="A51" s="16">
        <v>33</v>
      </c>
      <c r="B51" s="16">
        <v>24.891919999999999</v>
      </c>
      <c r="C51" s="16">
        <v>121.56701</v>
      </c>
    </row>
    <row r="52" spans="1:13" ht="12.5">
      <c r="A52" s="16">
        <v>34</v>
      </c>
      <c r="B52" s="16">
        <v>24.89199</v>
      </c>
      <c r="C52" s="16">
        <v>121.56712</v>
      </c>
    </row>
    <row r="53" spans="1:13" ht="12.5">
      <c r="A53" s="16">
        <v>35</v>
      </c>
      <c r="B53" s="16">
        <v>24.89207</v>
      </c>
      <c r="C53" s="16">
        <v>121.56703</v>
      </c>
    </row>
    <row r="54" spans="1:13" ht="12.5">
      <c r="A54" s="16">
        <v>36</v>
      </c>
      <c r="B54" s="16">
        <v>24.892160000000001</v>
      </c>
      <c r="C54" s="16">
        <v>121.56707</v>
      </c>
      <c r="M54" s="16" t="s">
        <v>74</v>
      </c>
    </row>
    <row r="55" spans="1:13" ht="12.5">
      <c r="A55" s="16">
        <v>37</v>
      </c>
      <c r="B55" s="16">
        <v>24.892130000000002</v>
      </c>
      <c r="C55" s="16">
        <v>121.56717999999999</v>
      </c>
    </row>
    <row r="60" spans="1:13" ht="12.5">
      <c r="M60" s="16" t="s">
        <v>74</v>
      </c>
    </row>
    <row r="61" spans="1:13" ht="12.5">
      <c r="M61" s="16"/>
    </row>
    <row r="62" spans="1:13" ht="12.5">
      <c r="M62" s="16" t="s">
        <v>74</v>
      </c>
    </row>
  </sheetData>
  <mergeCells count="16">
    <mergeCell ref="G9:H9"/>
    <mergeCell ref="G10:H10"/>
    <mergeCell ref="G18:H18"/>
    <mergeCell ref="G19:H19"/>
    <mergeCell ref="G11:H11"/>
    <mergeCell ref="G12:H12"/>
    <mergeCell ref="G13:H13"/>
    <mergeCell ref="G14:H14"/>
    <mergeCell ref="G15:H15"/>
    <mergeCell ref="G16:H16"/>
    <mergeCell ref="G17:H17"/>
    <mergeCell ref="G4:H4"/>
    <mergeCell ref="G5:H5"/>
    <mergeCell ref="G6:H6"/>
    <mergeCell ref="G7:H7"/>
    <mergeCell ref="G8:H8"/>
  </mergeCells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6"/>
  <sheetViews>
    <sheetView workbookViewId="0"/>
  </sheetViews>
  <sheetFormatPr defaultColWidth="12.6328125" defaultRowHeight="15.75" customHeight="1"/>
  <sheetData>
    <row r="1" spans="1:3">
      <c r="A1" s="33" t="s">
        <v>51</v>
      </c>
      <c r="B1" s="16" t="s">
        <v>58</v>
      </c>
      <c r="C1" s="16" t="s">
        <v>59</v>
      </c>
    </row>
    <row r="2" spans="1:3" ht="15.75" customHeight="1">
      <c r="A2" s="28">
        <v>21</v>
      </c>
      <c r="B2" s="16">
        <v>24.891947940172379</v>
      </c>
      <c r="C2" s="16">
        <v>121.56694654183273</v>
      </c>
    </row>
    <row r="3" spans="1:3" ht="15.75" customHeight="1">
      <c r="A3" s="28">
        <v>22</v>
      </c>
      <c r="B3" s="16">
        <v>24.891855371301201</v>
      </c>
      <c r="C3" s="16">
        <v>121.56701177788312</v>
      </c>
    </row>
    <row r="4" spans="1:3" ht="15.75" customHeight="1">
      <c r="A4" s="28">
        <v>23</v>
      </c>
      <c r="B4" s="16">
        <v>24.891867450819625</v>
      </c>
      <c r="C4" s="16">
        <v>121.5670037764765</v>
      </c>
    </row>
    <row r="5" spans="1:3" ht="15.75" customHeight="1">
      <c r="A5" s="28">
        <v>24</v>
      </c>
      <c r="B5" s="16">
        <v>24.891907359949894</v>
      </c>
      <c r="C5" s="16">
        <v>121.56696553115697</v>
      </c>
    </row>
    <row r="6" spans="1:3" ht="15.75" customHeight="1">
      <c r="A6" s="28">
        <v>25</v>
      </c>
      <c r="B6" s="16">
        <v>24.891953958794673</v>
      </c>
      <c r="C6" s="16">
        <v>121.56685165654932</v>
      </c>
    </row>
    <row r="7" spans="1:3" ht="15.75" customHeight="1">
      <c r="A7" s="28">
        <v>26</v>
      </c>
      <c r="B7" s="16">
        <v>24.89190565202702</v>
      </c>
      <c r="C7" s="16">
        <v>121.56691055513724</v>
      </c>
    </row>
    <row r="8" spans="1:3" ht="15.75" customHeight="1">
      <c r="A8" s="28">
        <v>27</v>
      </c>
      <c r="B8" s="16">
        <v>24.891901944831186</v>
      </c>
      <c r="C8" s="16">
        <v>121.5669009271232</v>
      </c>
    </row>
    <row r="9" spans="1:3" ht="15.75" customHeight="1">
      <c r="A9" s="28">
        <v>28</v>
      </c>
      <c r="B9" s="16">
        <v>24.89189130624024</v>
      </c>
      <c r="C9" s="16">
        <v>121.56693079733867</v>
      </c>
    </row>
    <row r="10" spans="1:3" ht="15.75" customHeight="1">
      <c r="A10" s="28">
        <v>29</v>
      </c>
      <c r="B10" s="16">
        <v>24.891840367625438</v>
      </c>
      <c r="C10" s="16">
        <v>121.56722858222672</v>
      </c>
    </row>
    <row r="11" spans="1:3" ht="15.75" customHeight="1">
      <c r="A11" s="28">
        <v>30</v>
      </c>
      <c r="B11" s="16">
        <v>24.891841496136305</v>
      </c>
      <c r="C11" s="16">
        <v>121.56715730993953</v>
      </c>
    </row>
    <row r="12" spans="1:3" ht="15.75" customHeight="1">
      <c r="A12" s="28">
        <v>31</v>
      </c>
      <c r="B12" s="16">
        <v>24.892041338854195</v>
      </c>
      <c r="C12" s="16">
        <v>121.5669229457436</v>
      </c>
    </row>
    <row r="13" spans="1:3" ht="15.75" customHeight="1">
      <c r="A13" s="28">
        <v>33</v>
      </c>
      <c r="B13" s="16">
        <v>24.891951031712406</v>
      </c>
      <c r="C13" s="16">
        <v>121.56704413736196</v>
      </c>
    </row>
    <row r="14" spans="1:3" ht="15.75" customHeight="1">
      <c r="A14" s="28">
        <v>34</v>
      </c>
      <c r="B14" s="16">
        <v>24.892016156823846</v>
      </c>
      <c r="C14" s="16">
        <v>121.56712672757713</v>
      </c>
    </row>
    <row r="15" spans="1:3" ht="15.75" customHeight="1">
      <c r="A15" s="28">
        <v>36</v>
      </c>
      <c r="B15" s="16">
        <v>24.892176763495705</v>
      </c>
      <c r="C15" s="16">
        <v>121.56708304348143</v>
      </c>
    </row>
    <row r="16" spans="1:3" ht="15.75" customHeight="1">
      <c r="A16" s="28">
        <v>37</v>
      </c>
      <c r="B16" s="16">
        <v>24.892130000000002</v>
      </c>
      <c r="C16" s="16">
        <v>121.56717999999999</v>
      </c>
    </row>
  </sheetData>
  <phoneticPr fontId="2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62"/>
  <sheetViews>
    <sheetView workbookViewId="0"/>
  </sheetViews>
  <sheetFormatPr defaultColWidth="12.6328125" defaultRowHeight="15.75" customHeight="1"/>
  <sheetData>
    <row r="1" spans="1:12" ht="15.7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5.75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15.75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ht="15.7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ht="15.75" customHeight="1">
      <c r="A5" s="34"/>
      <c r="B5" s="35"/>
      <c r="C5" s="35"/>
      <c r="D5" s="35"/>
      <c r="E5" s="35"/>
      <c r="F5" s="35"/>
      <c r="G5" s="35"/>
      <c r="H5" s="35"/>
      <c r="I5" s="34"/>
      <c r="J5" s="34"/>
      <c r="K5" s="34"/>
      <c r="L5" s="34"/>
    </row>
    <row r="6" spans="1:12" ht="15.75" customHeight="1">
      <c r="A6" s="34"/>
      <c r="B6" s="35"/>
      <c r="C6" s="35"/>
      <c r="D6" s="35"/>
      <c r="E6" s="35"/>
      <c r="F6" s="35"/>
      <c r="G6" s="34"/>
      <c r="H6" s="34"/>
      <c r="I6" s="35"/>
      <c r="J6" s="34"/>
      <c r="K6" s="35"/>
      <c r="L6" s="34"/>
    </row>
    <row r="7" spans="1:12" ht="15.75" customHeight="1">
      <c r="A7" s="34"/>
      <c r="B7" s="35"/>
      <c r="C7" s="35"/>
      <c r="D7" s="35"/>
      <c r="E7" s="35"/>
      <c r="F7" s="35"/>
      <c r="G7" s="34"/>
      <c r="H7" s="34"/>
      <c r="I7" s="35"/>
      <c r="J7" s="34"/>
      <c r="K7" s="35"/>
      <c r="L7" s="34"/>
    </row>
    <row r="8" spans="1:12" ht="15.75" customHeight="1">
      <c r="A8" s="34"/>
      <c r="B8" s="35"/>
      <c r="C8" s="35"/>
      <c r="D8" s="35"/>
      <c r="E8" s="35"/>
      <c r="F8" s="35"/>
      <c r="G8" s="34"/>
      <c r="H8" s="34"/>
      <c r="I8" s="35"/>
      <c r="J8" s="34"/>
      <c r="K8" s="35"/>
      <c r="L8" s="34"/>
    </row>
    <row r="9" spans="1:12" ht="15.75" customHeight="1">
      <c r="A9" s="34"/>
      <c r="B9" s="35"/>
      <c r="C9" s="35"/>
      <c r="D9" s="35"/>
      <c r="E9" s="35"/>
      <c r="F9" s="35"/>
      <c r="G9" s="34"/>
      <c r="H9" s="34"/>
      <c r="I9" s="35"/>
      <c r="J9" s="34"/>
      <c r="K9" s="35"/>
      <c r="L9" s="34"/>
    </row>
    <row r="10" spans="1:12" ht="15.75" customHeight="1">
      <c r="A10" s="34"/>
      <c r="B10" s="35"/>
      <c r="C10" s="35"/>
      <c r="D10" s="35"/>
      <c r="E10" s="35"/>
      <c r="F10" s="35"/>
      <c r="G10" s="35"/>
      <c r="H10" s="35"/>
      <c r="I10" s="34"/>
      <c r="J10" s="34"/>
      <c r="K10" s="35"/>
      <c r="L10" s="34"/>
    </row>
    <row r="11" spans="1:12" ht="15.75" customHeight="1">
      <c r="A11" s="34"/>
      <c r="B11" s="35"/>
      <c r="C11" s="35"/>
      <c r="D11" s="35"/>
      <c r="E11" s="35"/>
      <c r="F11" s="35"/>
      <c r="G11" s="34"/>
      <c r="H11" s="34"/>
      <c r="I11" s="35"/>
      <c r="J11" s="34"/>
      <c r="K11" s="35"/>
      <c r="L11" s="34"/>
    </row>
    <row r="12" spans="1:12" ht="15.75" customHeight="1">
      <c r="A12" s="34"/>
      <c r="B12" s="35"/>
      <c r="C12" s="35"/>
      <c r="D12" s="35"/>
      <c r="E12" s="35"/>
      <c r="F12" s="35"/>
      <c r="G12" s="35"/>
      <c r="H12" s="35"/>
      <c r="I12" s="35"/>
      <c r="J12" s="34"/>
      <c r="K12" s="35"/>
      <c r="L12" s="34"/>
    </row>
    <row r="13" spans="1:12" ht="15.75" customHeight="1">
      <c r="A13" s="34"/>
      <c r="B13" s="35"/>
      <c r="C13" s="35"/>
      <c r="D13" s="35"/>
      <c r="E13" s="35"/>
      <c r="F13" s="35"/>
      <c r="G13" s="34"/>
      <c r="H13" s="34"/>
      <c r="I13" s="35"/>
      <c r="J13" s="34"/>
      <c r="K13" s="35"/>
      <c r="L13" s="34"/>
    </row>
    <row r="14" spans="1:12" ht="15.75" customHeight="1">
      <c r="A14" s="34"/>
      <c r="B14" s="35"/>
      <c r="C14" s="35"/>
      <c r="D14" s="35"/>
      <c r="E14" s="35"/>
      <c r="F14" s="35"/>
      <c r="G14" s="34"/>
      <c r="H14" s="34"/>
      <c r="I14" s="35"/>
      <c r="J14" s="34"/>
      <c r="K14" s="35"/>
      <c r="L14" s="34"/>
    </row>
    <row r="15" spans="1:12" ht="15.75" customHeight="1">
      <c r="A15" s="34"/>
      <c r="B15" s="35"/>
      <c r="C15" s="35"/>
      <c r="D15" s="35"/>
      <c r="E15" s="35"/>
      <c r="F15" s="35"/>
      <c r="G15" s="35"/>
      <c r="H15" s="35"/>
      <c r="I15" s="34"/>
      <c r="J15" s="34"/>
      <c r="K15" s="35"/>
      <c r="L15" s="34"/>
    </row>
    <row r="16" spans="1:12" ht="15.75" customHeight="1">
      <c r="A16" s="34"/>
      <c r="B16" s="35"/>
      <c r="C16" s="35"/>
      <c r="D16" s="35"/>
      <c r="E16" s="35"/>
      <c r="F16" s="35"/>
      <c r="G16" s="34"/>
      <c r="H16" s="34"/>
      <c r="I16" s="35"/>
      <c r="J16" s="34"/>
      <c r="K16" s="35"/>
      <c r="L16" s="34"/>
    </row>
    <row r="17" spans="1:12" ht="15.75" customHeight="1">
      <c r="A17" s="34"/>
      <c r="B17" s="35"/>
      <c r="C17" s="36"/>
      <c r="D17" s="36"/>
      <c r="E17" s="36"/>
      <c r="F17" s="36"/>
      <c r="G17" s="37"/>
      <c r="H17" s="37"/>
      <c r="I17" s="35"/>
      <c r="J17" s="34"/>
      <c r="K17" s="35"/>
      <c r="L17" s="34"/>
    </row>
    <row r="18" spans="1:12" ht="12.5">
      <c r="A18" s="34"/>
      <c r="B18" s="38"/>
      <c r="C18" s="38"/>
      <c r="D18" s="38"/>
      <c r="E18" s="38"/>
      <c r="F18" s="38"/>
      <c r="G18" s="38"/>
      <c r="H18" s="38"/>
      <c r="I18" s="34"/>
      <c r="J18" s="34"/>
      <c r="K18" s="34"/>
      <c r="L18" s="34"/>
    </row>
    <row r="19" spans="1:12" ht="12.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</row>
    <row r="20" spans="1:12" ht="12.5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4"/>
    </row>
    <row r="21" spans="1:12" ht="12.5">
      <c r="A21" s="34"/>
      <c r="B21" s="35"/>
      <c r="C21" s="35"/>
      <c r="D21" s="35"/>
      <c r="E21" s="35"/>
      <c r="F21" s="34"/>
      <c r="G21" s="34"/>
      <c r="H21" s="34"/>
      <c r="I21" s="34"/>
      <c r="J21" s="34"/>
      <c r="K21" s="34"/>
      <c r="L21" s="34"/>
    </row>
    <row r="22" spans="1:12" ht="12.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</row>
    <row r="23" spans="1:12" ht="12.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</row>
    <row r="24" spans="1:12" ht="12.5">
      <c r="A24" s="34"/>
      <c r="B24" s="34"/>
      <c r="C24" s="35"/>
      <c r="D24" s="35"/>
      <c r="E24" s="35"/>
      <c r="F24" s="35"/>
      <c r="G24" s="35"/>
      <c r="H24" s="35"/>
      <c r="I24" s="34"/>
      <c r="J24" s="34"/>
      <c r="K24" s="34"/>
      <c r="L24" s="34"/>
    </row>
    <row r="25" spans="1:12" ht="12.5">
      <c r="A25" s="34"/>
      <c r="B25" s="35"/>
      <c r="C25" s="34"/>
      <c r="D25" s="34"/>
      <c r="E25" s="34"/>
      <c r="F25" s="34"/>
      <c r="G25" s="34"/>
      <c r="H25" s="34"/>
      <c r="I25" s="34"/>
      <c r="J25" s="34"/>
      <c r="K25" s="34"/>
      <c r="L25" s="34"/>
    </row>
    <row r="26" spans="1:12" ht="12.5">
      <c r="A26" s="34"/>
      <c r="B26" s="35"/>
      <c r="C26" s="35"/>
      <c r="D26" s="35"/>
      <c r="E26" s="35"/>
      <c r="F26" s="35"/>
      <c r="G26" s="35"/>
      <c r="H26" s="35"/>
      <c r="I26" s="34"/>
      <c r="J26" s="34"/>
      <c r="K26" s="34"/>
      <c r="L26" s="34"/>
    </row>
    <row r="27" spans="1:12" ht="12.5">
      <c r="A27" s="34"/>
      <c r="B27" s="35"/>
      <c r="C27" s="34"/>
      <c r="D27" s="34"/>
      <c r="E27" s="34"/>
      <c r="F27" s="34"/>
      <c r="G27" s="34"/>
      <c r="H27" s="34"/>
      <c r="I27" s="34"/>
      <c r="J27" s="34"/>
      <c r="K27" s="34"/>
      <c r="L27" s="34"/>
    </row>
    <row r="28" spans="1:12" ht="12.5">
      <c r="A28" s="34"/>
      <c r="B28" s="35"/>
      <c r="C28" s="34"/>
      <c r="D28" s="34"/>
      <c r="E28" s="34"/>
      <c r="F28" s="34"/>
      <c r="G28" s="34"/>
      <c r="H28" s="34"/>
      <c r="I28" s="34"/>
      <c r="J28" s="34"/>
      <c r="K28" s="34"/>
      <c r="L28" s="34"/>
    </row>
    <row r="29" spans="1:12" ht="12.5">
      <c r="A29" s="34"/>
      <c r="B29" s="35"/>
      <c r="C29" s="35"/>
      <c r="D29" s="35"/>
      <c r="E29" s="35"/>
      <c r="F29" s="35"/>
      <c r="G29" s="35"/>
      <c r="H29" s="35"/>
      <c r="I29" s="34"/>
      <c r="J29" s="34"/>
      <c r="K29" s="34"/>
      <c r="L29" s="34"/>
    </row>
    <row r="30" spans="1:12" ht="12.5">
      <c r="A30" s="34"/>
      <c r="B30" s="35"/>
      <c r="C30" s="35"/>
      <c r="D30" s="35"/>
      <c r="E30" s="35"/>
      <c r="F30" s="35"/>
      <c r="G30" s="35"/>
      <c r="H30" s="35"/>
      <c r="I30" s="34"/>
      <c r="J30" s="34"/>
      <c r="K30" s="34"/>
      <c r="L30" s="34"/>
    </row>
    <row r="31" spans="1:12" ht="12.5">
      <c r="A31" s="34"/>
      <c r="B31" s="35"/>
      <c r="C31" s="35"/>
      <c r="D31" s="35"/>
      <c r="E31" s="35"/>
      <c r="F31" s="35"/>
      <c r="G31" s="35"/>
      <c r="H31" s="35"/>
      <c r="I31" s="34"/>
      <c r="J31" s="34"/>
      <c r="K31" s="34"/>
      <c r="L31" s="34"/>
    </row>
    <row r="32" spans="1:12" ht="12.5">
      <c r="A32" s="34"/>
      <c r="B32" s="35"/>
      <c r="C32" s="35"/>
      <c r="D32" s="35"/>
      <c r="E32" s="35"/>
      <c r="F32" s="35"/>
      <c r="G32" s="35"/>
      <c r="H32" s="35"/>
      <c r="I32" s="34"/>
      <c r="J32" s="34"/>
      <c r="K32" s="34"/>
      <c r="L32" s="34"/>
    </row>
    <row r="33" spans="1:15" ht="12.5">
      <c r="A33" s="39" t="s">
        <v>75</v>
      </c>
      <c r="B33" s="39" t="s">
        <v>76</v>
      </c>
      <c r="C33" s="39" t="s">
        <v>77</v>
      </c>
      <c r="D33" s="39" t="s">
        <v>78</v>
      </c>
      <c r="E33" s="39" t="s">
        <v>79</v>
      </c>
      <c r="F33" s="39" t="s">
        <v>80</v>
      </c>
      <c r="G33" s="11" t="s">
        <v>81</v>
      </c>
      <c r="H33" s="34" t="s">
        <v>82</v>
      </c>
      <c r="I33" s="34" t="s">
        <v>83</v>
      </c>
      <c r="J33" s="34" t="s">
        <v>84</v>
      </c>
      <c r="K33" s="34" t="s">
        <v>85</v>
      </c>
      <c r="L33" s="34" t="s">
        <v>86</v>
      </c>
      <c r="M33" s="16" t="s">
        <v>87</v>
      </c>
      <c r="N33" s="16" t="s">
        <v>88</v>
      </c>
      <c r="O33" s="16" t="s">
        <v>89</v>
      </c>
    </row>
    <row r="34" spans="1:15" ht="12.5">
      <c r="A34" s="39">
        <v>8</v>
      </c>
      <c r="B34" s="40">
        <v>3</v>
      </c>
      <c r="C34" s="40">
        <v>1</v>
      </c>
      <c r="D34" s="40">
        <v>1</v>
      </c>
      <c r="E34" s="40">
        <v>1</v>
      </c>
      <c r="F34" s="40">
        <v>1</v>
      </c>
      <c r="G34" s="41">
        <v>1</v>
      </c>
      <c r="H34" s="35">
        <v>6</v>
      </c>
      <c r="I34" s="34">
        <v>4</v>
      </c>
      <c r="J34" s="34">
        <v>4</v>
      </c>
      <c r="K34" s="34">
        <v>4</v>
      </c>
      <c r="L34" s="34">
        <v>4</v>
      </c>
      <c r="M34" s="16">
        <v>4</v>
      </c>
      <c r="N34" s="16">
        <v>3</v>
      </c>
      <c r="O34" s="16">
        <v>3</v>
      </c>
    </row>
    <row r="35" spans="1:15" ht="12.5">
      <c r="A35" s="34"/>
      <c r="B35" s="35"/>
      <c r="C35" s="35"/>
      <c r="D35" s="35"/>
      <c r="E35" s="35"/>
      <c r="F35" s="35"/>
      <c r="G35" s="35"/>
      <c r="H35" s="35"/>
      <c r="I35" s="34"/>
      <c r="J35" s="34"/>
      <c r="K35" s="34"/>
      <c r="L35" s="34"/>
    </row>
    <row r="36" spans="1:15" ht="12.5">
      <c r="A36" s="34"/>
      <c r="B36" s="35"/>
      <c r="C36" s="35"/>
      <c r="D36" s="35"/>
      <c r="E36" s="35"/>
      <c r="F36" s="35"/>
      <c r="G36" s="35"/>
      <c r="H36" s="35"/>
      <c r="I36" s="34"/>
      <c r="J36" s="34"/>
      <c r="K36" s="34"/>
      <c r="L36" s="34"/>
    </row>
    <row r="37" spans="1:15" ht="12.5">
      <c r="A37" s="34"/>
      <c r="B37" s="35"/>
      <c r="C37" s="35"/>
      <c r="D37" s="35"/>
      <c r="E37" s="35"/>
      <c r="F37" s="35"/>
      <c r="G37" s="35"/>
      <c r="H37" s="35"/>
      <c r="I37" s="34"/>
      <c r="J37" s="34"/>
      <c r="K37" s="34"/>
      <c r="L37" s="34"/>
    </row>
    <row r="38" spans="1:15" ht="12.5">
      <c r="A38" s="34"/>
      <c r="B38" s="35"/>
      <c r="C38" s="35"/>
      <c r="D38" s="35"/>
      <c r="E38" s="35"/>
      <c r="F38" s="35"/>
      <c r="G38" s="35"/>
      <c r="H38" s="35"/>
      <c r="I38" s="34"/>
      <c r="J38" s="34"/>
      <c r="K38" s="34"/>
      <c r="L38" s="34"/>
    </row>
    <row r="39" spans="1:15" ht="12.5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</row>
    <row r="40" spans="1:15" ht="12.5">
      <c r="A40" s="35"/>
      <c r="B40" s="35"/>
      <c r="C40" s="34"/>
      <c r="D40" s="34"/>
      <c r="E40" s="34"/>
      <c r="F40" s="34"/>
      <c r="G40" s="34"/>
      <c r="H40" s="34"/>
      <c r="I40" s="34"/>
      <c r="J40" s="34"/>
      <c r="K40" s="34"/>
      <c r="L40" s="34"/>
    </row>
    <row r="41" spans="1:15" ht="12.5">
      <c r="A41" s="35"/>
      <c r="B41" s="35"/>
      <c r="C41" s="34"/>
      <c r="D41" s="34"/>
      <c r="E41" s="34"/>
      <c r="F41" s="34"/>
      <c r="G41" s="34"/>
      <c r="H41" s="34"/>
      <c r="I41" s="34"/>
      <c r="J41" s="34"/>
      <c r="K41" s="34"/>
      <c r="L41" s="34"/>
    </row>
    <row r="42" spans="1:15" ht="12.5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</row>
    <row r="43" spans="1:15" ht="12.5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spans="1:15" ht="12.5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spans="1:15" ht="12.5">
      <c r="A45" s="34"/>
      <c r="B45" s="35"/>
      <c r="C45" s="35"/>
      <c r="D45" s="35"/>
      <c r="E45" s="35"/>
      <c r="F45" s="35"/>
      <c r="G45" s="35"/>
      <c r="H45" s="34"/>
      <c r="I45" s="34"/>
      <c r="J45" s="34"/>
      <c r="K45" s="34"/>
      <c r="L45" s="34"/>
    </row>
    <row r="46" spans="1:15" ht="12.5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</row>
    <row r="47" spans="1:15" ht="12.5">
      <c r="A47" s="34"/>
      <c r="B47" s="35"/>
      <c r="C47" s="35"/>
      <c r="D47" s="35"/>
      <c r="E47" s="35"/>
      <c r="F47" s="35"/>
      <c r="G47" s="35"/>
      <c r="H47" s="34"/>
      <c r="I47" s="34"/>
      <c r="J47" s="34"/>
      <c r="K47" s="34"/>
      <c r="L47" s="34"/>
    </row>
    <row r="48" spans="1:15" ht="12.5">
      <c r="A48" s="34"/>
      <c r="B48" s="35" t="s">
        <v>90</v>
      </c>
      <c r="C48" s="120" t="s">
        <v>91</v>
      </c>
      <c r="D48" s="121"/>
      <c r="E48" s="120" t="s">
        <v>92</v>
      </c>
      <c r="F48" s="121"/>
      <c r="G48" s="34"/>
      <c r="H48" s="34"/>
      <c r="I48" s="34"/>
      <c r="J48" s="34"/>
      <c r="K48" s="34"/>
      <c r="L48" s="34"/>
    </row>
    <row r="49" spans="1:12" ht="12.5">
      <c r="A49" s="34"/>
      <c r="B49" s="35" t="s">
        <v>93</v>
      </c>
      <c r="C49" s="122" t="s">
        <v>94</v>
      </c>
      <c r="D49" s="121"/>
      <c r="E49" s="122" t="s">
        <v>95</v>
      </c>
      <c r="F49" s="121"/>
      <c r="G49" s="34"/>
      <c r="H49" s="34"/>
      <c r="I49" s="34"/>
      <c r="J49" s="34"/>
      <c r="K49" s="34"/>
      <c r="L49" s="34"/>
    </row>
    <row r="50" spans="1:12" ht="12.5">
      <c r="A50" s="34"/>
      <c r="B50" s="35" t="s">
        <v>96</v>
      </c>
      <c r="C50" s="122" t="s">
        <v>97</v>
      </c>
      <c r="D50" s="121"/>
      <c r="E50" s="122" t="s">
        <v>98</v>
      </c>
      <c r="F50" s="121"/>
      <c r="G50" s="35"/>
      <c r="H50" s="34"/>
      <c r="I50" s="34"/>
      <c r="J50" s="34"/>
      <c r="K50" s="34"/>
      <c r="L50" s="34"/>
    </row>
    <row r="51" spans="1:12" ht="12.5">
      <c r="A51" s="34"/>
      <c r="B51" s="35" t="s">
        <v>99</v>
      </c>
      <c r="C51" s="122" t="s">
        <v>100</v>
      </c>
      <c r="D51" s="121"/>
      <c r="E51" s="122" t="s">
        <v>101</v>
      </c>
      <c r="F51" s="121"/>
      <c r="G51" s="35"/>
      <c r="H51" s="34"/>
      <c r="I51" s="34"/>
      <c r="J51" s="34"/>
      <c r="K51" s="34"/>
      <c r="L51" s="34"/>
    </row>
    <row r="52" spans="1:12" ht="12.5">
      <c r="A52" s="34"/>
      <c r="B52" s="35"/>
      <c r="C52" s="35"/>
      <c r="D52" s="35"/>
      <c r="E52" s="35"/>
      <c r="F52" s="35"/>
      <c r="G52" s="35"/>
      <c r="H52" s="34"/>
      <c r="I52" s="34"/>
      <c r="J52" s="34"/>
      <c r="K52" s="34"/>
      <c r="L52" s="34"/>
    </row>
    <row r="53" spans="1:12" ht="12.5">
      <c r="A53" s="34"/>
      <c r="B53" s="35"/>
      <c r="C53" s="35"/>
      <c r="D53" s="35"/>
      <c r="E53" s="35"/>
      <c r="F53" s="35"/>
      <c r="G53" s="35"/>
      <c r="H53" s="34"/>
      <c r="I53" s="34"/>
      <c r="J53" s="34"/>
      <c r="K53" s="34"/>
      <c r="L53" s="34"/>
    </row>
    <row r="54" spans="1:12" ht="12.5">
      <c r="A54" s="34"/>
      <c r="B54" s="35"/>
      <c r="C54" s="35"/>
      <c r="D54" s="35"/>
      <c r="E54" s="35"/>
      <c r="F54" s="34"/>
      <c r="G54" s="34"/>
      <c r="H54" s="34"/>
      <c r="I54" s="34"/>
      <c r="J54" s="34"/>
      <c r="K54" s="34"/>
      <c r="L54" s="34"/>
    </row>
    <row r="55" spans="1:12" ht="12.5">
      <c r="A55" s="34"/>
      <c r="B55" s="35"/>
      <c r="C55" s="35"/>
      <c r="D55" s="35"/>
      <c r="E55" s="35"/>
      <c r="F55" s="35"/>
      <c r="G55" s="35"/>
      <c r="H55" s="34"/>
      <c r="I55" s="34"/>
      <c r="J55" s="34"/>
      <c r="K55" s="34"/>
      <c r="L55" s="34"/>
    </row>
    <row r="56" spans="1:12" ht="12.5">
      <c r="A56" s="34"/>
      <c r="B56" s="35"/>
      <c r="C56" s="35"/>
      <c r="D56" s="35"/>
      <c r="E56" s="35"/>
      <c r="F56" s="35"/>
      <c r="G56" s="35"/>
      <c r="H56" s="34"/>
      <c r="I56" s="34"/>
      <c r="J56" s="34"/>
      <c r="K56" s="34"/>
      <c r="L56" s="34"/>
    </row>
    <row r="57" spans="1:12" ht="12.5">
      <c r="A57" s="34"/>
      <c r="B57" s="35"/>
      <c r="C57" s="35"/>
      <c r="D57" s="35"/>
      <c r="E57" s="35"/>
      <c r="F57" s="35"/>
      <c r="G57" s="35"/>
      <c r="H57" s="34"/>
      <c r="I57" s="34"/>
      <c r="J57" s="34"/>
      <c r="K57" s="34"/>
      <c r="L57" s="34"/>
    </row>
    <row r="58" spans="1:12" ht="12.5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12.5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12.5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12.5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12.5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</sheetData>
  <mergeCells count="8">
    <mergeCell ref="C51:D51"/>
    <mergeCell ref="E51:F51"/>
    <mergeCell ref="C48:D48"/>
    <mergeCell ref="E48:F48"/>
    <mergeCell ref="C49:D49"/>
    <mergeCell ref="E49:F49"/>
    <mergeCell ref="C50:D50"/>
    <mergeCell ref="E50:F50"/>
  </mergeCells>
  <phoneticPr fontId="2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2:AF168"/>
  <sheetViews>
    <sheetView workbookViewId="0"/>
  </sheetViews>
  <sheetFormatPr defaultColWidth="12.6328125" defaultRowHeight="15.75" customHeight="1"/>
  <sheetData>
    <row r="2" spans="1:30" ht="15.75" customHeigh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</row>
    <row r="3" spans="1:30" ht="15.75" customHeight="1">
      <c r="A3" s="11"/>
      <c r="B3" s="139" t="s">
        <v>102</v>
      </c>
      <c r="C3" s="141" t="s">
        <v>103</v>
      </c>
      <c r="D3" s="116"/>
      <c r="E3" s="42"/>
      <c r="F3" s="42"/>
      <c r="G3" s="42"/>
      <c r="H3" s="42"/>
      <c r="I3" s="42"/>
      <c r="J3" s="42"/>
      <c r="K3" s="42"/>
      <c r="L3" s="42"/>
      <c r="M3" s="43" t="s">
        <v>104</v>
      </c>
      <c r="N3" s="43" t="s">
        <v>105</v>
      </c>
      <c r="O3" s="43" t="s">
        <v>104</v>
      </c>
      <c r="P3" s="43"/>
      <c r="Q3" s="43" t="s">
        <v>105</v>
      </c>
    </row>
    <row r="4" spans="1:30" ht="15.75" customHeight="1">
      <c r="A4" s="11"/>
      <c r="B4" s="140"/>
      <c r="C4" s="142"/>
      <c r="D4" s="127"/>
      <c r="E4" s="42"/>
      <c r="F4" s="42"/>
      <c r="G4" s="42"/>
      <c r="H4" s="42"/>
      <c r="I4" s="42"/>
      <c r="J4" s="42"/>
      <c r="K4" s="42"/>
      <c r="L4" s="42"/>
      <c r="M4" s="44">
        <v>1</v>
      </c>
      <c r="N4" s="45"/>
      <c r="O4" s="44">
        <v>7</v>
      </c>
      <c r="P4" s="45"/>
      <c r="Q4" s="45"/>
    </row>
    <row r="5" spans="1:30" ht="15.75" customHeight="1">
      <c r="A5" s="11"/>
      <c r="B5" s="139" t="s">
        <v>106</v>
      </c>
      <c r="C5" s="143" t="s">
        <v>107</v>
      </c>
      <c r="D5" s="116"/>
      <c r="E5" s="42"/>
      <c r="F5" s="42"/>
      <c r="G5" s="42"/>
      <c r="H5" s="42"/>
      <c r="I5" s="42"/>
      <c r="J5" s="42"/>
      <c r="K5" s="42"/>
      <c r="L5" s="42"/>
      <c r="M5" s="46">
        <v>2</v>
      </c>
      <c r="N5" s="47"/>
      <c r="O5" s="46">
        <v>8</v>
      </c>
      <c r="P5" s="47"/>
      <c r="Q5" s="47"/>
    </row>
    <row r="6" spans="1:30" ht="15.75" customHeight="1">
      <c r="A6" s="11"/>
      <c r="B6" s="140"/>
      <c r="C6" s="142"/>
      <c r="D6" s="127"/>
      <c r="E6" s="42"/>
      <c r="F6" s="42"/>
      <c r="G6" s="42"/>
      <c r="H6" s="42"/>
      <c r="I6" s="42"/>
      <c r="J6" s="42"/>
      <c r="K6" s="42"/>
      <c r="L6" s="42"/>
      <c r="M6" s="46">
        <v>3</v>
      </c>
      <c r="N6" s="47"/>
      <c r="O6" s="46">
        <v>9</v>
      </c>
      <c r="P6" s="47"/>
      <c r="Q6" s="47"/>
    </row>
    <row r="7" spans="1:30" ht="15.75" customHeight="1">
      <c r="A7" s="11"/>
      <c r="B7" s="11"/>
      <c r="C7" s="11"/>
      <c r="D7" s="11"/>
      <c r="E7" s="42"/>
      <c r="F7" s="42"/>
      <c r="G7" s="42"/>
      <c r="H7" s="42"/>
      <c r="I7" s="42"/>
      <c r="J7" s="42"/>
      <c r="K7" s="42"/>
      <c r="L7" s="42"/>
      <c r="M7" s="46">
        <v>4</v>
      </c>
      <c r="N7" s="47"/>
      <c r="O7" s="46">
        <v>10</v>
      </c>
      <c r="P7" s="47"/>
      <c r="Q7" s="47"/>
    </row>
    <row r="8" spans="1:30" ht="15.75" customHeight="1">
      <c r="A8" s="11"/>
      <c r="B8" s="11"/>
      <c r="C8" s="11"/>
      <c r="D8" s="11"/>
      <c r="E8" s="48"/>
      <c r="F8" s="42"/>
      <c r="G8" s="42"/>
      <c r="H8" s="42"/>
      <c r="I8" s="42"/>
      <c r="J8" s="42"/>
      <c r="K8" s="42"/>
      <c r="L8" s="42"/>
      <c r="M8" s="46">
        <v>5</v>
      </c>
      <c r="N8" s="47"/>
      <c r="O8" s="46">
        <v>11</v>
      </c>
      <c r="P8" s="47"/>
      <c r="Q8" s="47"/>
    </row>
    <row r="9" spans="1:30" ht="15.75" customHeight="1">
      <c r="A9" s="42"/>
      <c r="B9" s="11"/>
      <c r="C9" s="11"/>
      <c r="D9" s="11"/>
      <c r="E9" s="42"/>
      <c r="F9" s="42"/>
      <c r="G9" s="42"/>
      <c r="H9" s="42"/>
      <c r="I9" s="42"/>
      <c r="J9" s="42"/>
      <c r="K9" s="42"/>
      <c r="L9" s="42"/>
      <c r="M9" s="49">
        <v>6</v>
      </c>
      <c r="N9" s="50"/>
      <c r="O9" s="49">
        <v>12</v>
      </c>
      <c r="P9" s="50"/>
      <c r="Q9" s="50"/>
    </row>
    <row r="10" spans="1:30" ht="15.75" customHeight="1">
      <c r="A10" s="48"/>
      <c r="B10" s="48" t="s">
        <v>19</v>
      </c>
      <c r="C10" s="42"/>
      <c r="D10" s="42"/>
      <c r="E10" s="42"/>
      <c r="F10" s="42"/>
      <c r="G10" s="42"/>
      <c r="H10" s="48"/>
      <c r="I10" s="48"/>
      <c r="J10" s="48"/>
      <c r="K10" s="11"/>
      <c r="L10" s="11"/>
      <c r="M10" s="11"/>
      <c r="N10" s="11"/>
      <c r="O10" s="42"/>
      <c r="P10" s="42"/>
      <c r="Q10" s="119" t="s">
        <v>108</v>
      </c>
      <c r="R10" s="121"/>
      <c r="S10" s="121"/>
      <c r="T10" s="121"/>
      <c r="U10" s="28"/>
      <c r="V10" s="28"/>
    </row>
    <row r="11" spans="1:30">
      <c r="A11" s="21" t="s">
        <v>109</v>
      </c>
      <c r="B11" s="21" t="s">
        <v>110</v>
      </c>
      <c r="C11" s="21" t="s">
        <v>111</v>
      </c>
      <c r="D11" s="21" t="s">
        <v>112</v>
      </c>
      <c r="E11" s="21" t="s">
        <v>113</v>
      </c>
      <c r="F11" s="21" t="s">
        <v>114</v>
      </c>
      <c r="G11" s="21" t="s">
        <v>115</v>
      </c>
      <c r="H11" s="21" t="s">
        <v>54</v>
      </c>
      <c r="I11" s="21" t="s">
        <v>116</v>
      </c>
      <c r="J11" s="23" t="s">
        <v>117</v>
      </c>
      <c r="K11" s="113" t="s">
        <v>118</v>
      </c>
      <c r="L11" s="138"/>
      <c r="M11" s="138"/>
      <c r="N11" s="138"/>
      <c r="O11" s="21" t="s">
        <v>119</v>
      </c>
      <c r="P11" s="21" t="s">
        <v>120</v>
      </c>
      <c r="Q11" s="21" t="s">
        <v>121</v>
      </c>
      <c r="R11" s="21" t="s">
        <v>122</v>
      </c>
      <c r="S11" s="21" t="s">
        <v>123</v>
      </c>
      <c r="T11" s="21" t="s">
        <v>124</v>
      </c>
      <c r="U11" s="113" t="s">
        <v>57</v>
      </c>
      <c r="V11" s="138"/>
      <c r="W11" s="113" t="s">
        <v>125</v>
      </c>
      <c r="X11" s="114"/>
      <c r="Y11" s="113" t="s">
        <v>126</v>
      </c>
      <c r="Z11" s="114"/>
      <c r="AA11" s="113" t="s">
        <v>127</v>
      </c>
      <c r="AB11" s="138"/>
      <c r="AC11" s="138"/>
      <c r="AD11" s="114"/>
    </row>
    <row r="12" spans="1:30" ht="15.75" customHeight="1">
      <c r="A12" s="51" t="s">
        <v>128</v>
      </c>
      <c r="B12" s="51" t="s">
        <v>26</v>
      </c>
      <c r="C12" s="52">
        <v>0.34444444444444444</v>
      </c>
      <c r="D12" s="53">
        <v>29.4</v>
      </c>
      <c r="E12" s="53">
        <v>69</v>
      </c>
      <c r="F12" s="53">
        <v>4700</v>
      </c>
      <c r="G12" s="53">
        <v>0</v>
      </c>
      <c r="H12" s="53">
        <v>126</v>
      </c>
      <c r="I12" s="53">
        <v>25</v>
      </c>
      <c r="J12" s="53">
        <v>484</v>
      </c>
      <c r="K12" s="132" t="s">
        <v>129</v>
      </c>
      <c r="L12" s="121"/>
      <c r="M12" s="121"/>
      <c r="N12" s="121"/>
      <c r="O12" s="53">
        <v>37.6</v>
      </c>
      <c r="P12" s="53">
        <v>28.89</v>
      </c>
      <c r="Q12" s="53">
        <v>40.19</v>
      </c>
      <c r="R12" s="53">
        <v>42.26</v>
      </c>
      <c r="S12" s="53">
        <v>10.77</v>
      </c>
      <c r="T12" s="53">
        <v>97.57</v>
      </c>
      <c r="U12" s="131">
        <v>4520</v>
      </c>
      <c r="V12" s="118"/>
      <c r="W12" s="131">
        <v>4521</v>
      </c>
      <c r="X12" s="118"/>
      <c r="Y12" s="130"/>
      <c r="Z12" s="118"/>
      <c r="AA12" s="134"/>
      <c r="AB12" s="121"/>
      <c r="AC12" s="121"/>
      <c r="AD12" s="118"/>
    </row>
    <row r="13" spans="1:30" ht="15.75" customHeight="1">
      <c r="A13" s="51"/>
      <c r="B13" s="51" t="s">
        <v>30</v>
      </c>
      <c r="C13" s="52">
        <v>0.3611111111111111</v>
      </c>
      <c r="D13" s="53">
        <v>32.4</v>
      </c>
      <c r="E13" s="53">
        <v>75.5</v>
      </c>
      <c r="F13" s="53">
        <v>18100</v>
      </c>
      <c r="G13" s="53">
        <v>0</v>
      </c>
      <c r="H13" s="53">
        <v>344</v>
      </c>
      <c r="I13" s="53">
        <v>21</v>
      </c>
      <c r="J13" s="53">
        <v>138.6</v>
      </c>
      <c r="K13" s="132" t="s">
        <v>130</v>
      </c>
      <c r="L13" s="121"/>
      <c r="M13" s="121"/>
      <c r="N13" s="121"/>
      <c r="O13" s="53">
        <v>14.5</v>
      </c>
      <c r="P13" s="53">
        <v>26.67</v>
      </c>
      <c r="Q13" s="53">
        <v>16.399999999999999</v>
      </c>
      <c r="R13" s="53">
        <v>44.45</v>
      </c>
      <c r="S13" s="53">
        <v>16.11</v>
      </c>
      <c r="T13" s="53">
        <v>61.57</v>
      </c>
      <c r="U13" s="131">
        <v>4522</v>
      </c>
      <c r="V13" s="118"/>
      <c r="W13" s="131">
        <v>4523</v>
      </c>
      <c r="X13" s="118"/>
      <c r="Y13" s="130"/>
      <c r="Z13" s="118"/>
      <c r="AA13" s="132" t="s">
        <v>131</v>
      </c>
      <c r="AB13" s="121"/>
      <c r="AC13" s="121"/>
      <c r="AD13" s="118"/>
    </row>
    <row r="14" spans="1:30" ht="15.75" customHeight="1">
      <c r="A14" s="51"/>
      <c r="B14" s="51" t="s">
        <v>28</v>
      </c>
      <c r="C14" s="52">
        <v>0.3840277777777778</v>
      </c>
      <c r="D14" s="53" t="s">
        <v>132</v>
      </c>
      <c r="E14" s="56" t="s">
        <v>132</v>
      </c>
      <c r="F14" s="56" t="s">
        <v>132</v>
      </c>
      <c r="G14" s="56" t="s">
        <v>132</v>
      </c>
      <c r="H14" s="56" t="s">
        <v>132</v>
      </c>
      <c r="I14" s="56" t="s">
        <v>132</v>
      </c>
      <c r="J14" s="53">
        <v>683</v>
      </c>
      <c r="K14" s="132" t="s">
        <v>132</v>
      </c>
      <c r="L14" s="121"/>
      <c r="M14" s="121"/>
      <c r="N14" s="121"/>
      <c r="O14" s="53" t="s">
        <v>132</v>
      </c>
      <c r="P14" s="53" t="s">
        <v>132</v>
      </c>
      <c r="Q14" s="53" t="s">
        <v>132</v>
      </c>
      <c r="R14" s="53" t="s">
        <v>132</v>
      </c>
      <c r="S14" s="53" t="s">
        <v>132</v>
      </c>
      <c r="T14" s="53" t="s">
        <v>132</v>
      </c>
      <c r="U14" s="131">
        <v>4524</v>
      </c>
      <c r="V14" s="118"/>
      <c r="W14" s="131" t="s">
        <v>132</v>
      </c>
      <c r="X14" s="118"/>
      <c r="Y14" s="130"/>
      <c r="Z14" s="118"/>
      <c r="AA14" s="137" t="s">
        <v>133</v>
      </c>
      <c r="AB14" s="121"/>
      <c r="AC14" s="121"/>
      <c r="AD14" s="118"/>
    </row>
    <row r="15" spans="1:30" ht="15.75" customHeight="1">
      <c r="A15" s="51"/>
      <c r="B15" s="51" t="s">
        <v>26</v>
      </c>
      <c r="C15" s="52">
        <v>0.40625</v>
      </c>
      <c r="D15" s="56" t="s">
        <v>132</v>
      </c>
      <c r="E15" s="56" t="s">
        <v>132</v>
      </c>
      <c r="F15" s="56" t="s">
        <v>132</v>
      </c>
      <c r="G15" s="56" t="s">
        <v>132</v>
      </c>
      <c r="H15" s="56" t="s">
        <v>132</v>
      </c>
      <c r="I15" s="56" t="s">
        <v>132</v>
      </c>
      <c r="J15" s="53">
        <v>190</v>
      </c>
      <c r="K15" s="132" t="s">
        <v>132</v>
      </c>
      <c r="L15" s="121"/>
      <c r="M15" s="121"/>
      <c r="N15" s="121"/>
      <c r="O15" s="53" t="s">
        <v>132</v>
      </c>
      <c r="P15" s="53" t="s">
        <v>132</v>
      </c>
      <c r="Q15" s="53" t="s">
        <v>132</v>
      </c>
      <c r="R15" s="53" t="s">
        <v>132</v>
      </c>
      <c r="S15" s="53" t="s">
        <v>132</v>
      </c>
      <c r="T15" s="53" t="s">
        <v>132</v>
      </c>
      <c r="U15" s="131" t="s">
        <v>132</v>
      </c>
      <c r="V15" s="118"/>
      <c r="W15" s="131" t="s">
        <v>132</v>
      </c>
      <c r="X15" s="118"/>
      <c r="Y15" s="130"/>
      <c r="Z15" s="118"/>
      <c r="AA15" s="137" t="s">
        <v>133</v>
      </c>
      <c r="AB15" s="121"/>
      <c r="AC15" s="121"/>
      <c r="AD15" s="118"/>
    </row>
    <row r="16" spans="1:30" ht="15.75" customHeight="1">
      <c r="A16" s="51"/>
      <c r="B16" s="57" t="s">
        <v>19</v>
      </c>
      <c r="C16" s="52">
        <v>0.41875000000000001</v>
      </c>
      <c r="D16" s="53">
        <v>33.4</v>
      </c>
      <c r="E16" s="53">
        <v>74.900000000000006</v>
      </c>
      <c r="F16" s="53">
        <v>4380</v>
      </c>
      <c r="G16" s="53">
        <v>0</v>
      </c>
      <c r="H16" s="53">
        <v>266</v>
      </c>
      <c r="I16" s="53">
        <v>22</v>
      </c>
      <c r="J16" s="58">
        <v>256.3</v>
      </c>
      <c r="K16" s="134" t="s">
        <v>134</v>
      </c>
      <c r="L16" s="121"/>
      <c r="M16" s="121"/>
      <c r="N16" s="118"/>
      <c r="O16" s="53">
        <v>4.5</v>
      </c>
      <c r="P16" s="53">
        <v>13.57</v>
      </c>
      <c r="Q16" s="53">
        <v>37.1</v>
      </c>
      <c r="R16" s="53">
        <v>21.51</v>
      </c>
      <c r="S16" s="53">
        <v>47.26</v>
      </c>
      <c r="T16" s="53">
        <v>14.7</v>
      </c>
      <c r="U16" s="131">
        <v>4529</v>
      </c>
      <c r="V16" s="118"/>
      <c r="W16" s="131">
        <v>4531</v>
      </c>
      <c r="X16" s="118"/>
      <c r="Y16" s="130"/>
      <c r="Z16" s="118"/>
      <c r="AA16" s="132" t="s">
        <v>135</v>
      </c>
      <c r="AB16" s="121"/>
      <c r="AC16" s="121"/>
      <c r="AD16" s="118"/>
    </row>
    <row r="17" spans="1:30" ht="15.75" customHeight="1">
      <c r="A17" s="51"/>
      <c r="B17" s="51" t="s">
        <v>33</v>
      </c>
      <c r="C17" s="52">
        <v>0.42499999999999999</v>
      </c>
      <c r="D17" s="53">
        <v>32.299999999999997</v>
      </c>
      <c r="E17" s="53">
        <v>63.8</v>
      </c>
      <c r="F17" s="56" t="s">
        <v>136</v>
      </c>
      <c r="G17" s="53">
        <v>0.3</v>
      </c>
      <c r="H17" s="53">
        <v>135</v>
      </c>
      <c r="I17" s="53">
        <v>23</v>
      </c>
      <c r="J17" s="58">
        <v>103</v>
      </c>
      <c r="K17" s="134" t="s">
        <v>137</v>
      </c>
      <c r="L17" s="121"/>
      <c r="M17" s="121"/>
      <c r="N17" s="118"/>
      <c r="O17" s="53">
        <v>91.5</v>
      </c>
      <c r="P17" s="53">
        <v>25.15</v>
      </c>
      <c r="Q17" s="53">
        <v>36.32</v>
      </c>
      <c r="R17" s="53">
        <v>258</v>
      </c>
      <c r="S17" s="53">
        <v>36.81</v>
      </c>
      <c r="T17" s="53">
        <v>22.14</v>
      </c>
      <c r="U17" s="131">
        <v>4532</v>
      </c>
      <c r="V17" s="118"/>
      <c r="W17" s="131">
        <v>4535</v>
      </c>
      <c r="X17" s="118"/>
      <c r="Y17" s="130"/>
      <c r="Z17" s="118"/>
      <c r="AA17" s="132" t="s">
        <v>138</v>
      </c>
      <c r="AB17" s="121"/>
      <c r="AC17" s="121"/>
      <c r="AD17" s="118"/>
    </row>
    <row r="18" spans="1:30" ht="14">
      <c r="A18" s="51"/>
      <c r="B18" s="51" t="s">
        <v>37</v>
      </c>
      <c r="C18" s="52">
        <v>0.44444444444444442</v>
      </c>
      <c r="D18" s="53">
        <v>30.2</v>
      </c>
      <c r="E18" s="53">
        <v>66.5</v>
      </c>
      <c r="F18" s="53">
        <v>12270</v>
      </c>
      <c r="G18" s="53">
        <v>0</v>
      </c>
      <c r="H18" s="53">
        <v>290</v>
      </c>
      <c r="I18" s="53">
        <v>22</v>
      </c>
      <c r="J18" s="53">
        <v>734</v>
      </c>
      <c r="K18" s="134" t="s">
        <v>139</v>
      </c>
      <c r="L18" s="121"/>
      <c r="M18" s="121"/>
      <c r="N18" s="121"/>
      <c r="O18" s="53">
        <v>15.7</v>
      </c>
      <c r="P18" s="53">
        <v>47.83</v>
      </c>
      <c r="Q18" s="53">
        <v>12.54</v>
      </c>
      <c r="R18" s="53">
        <v>29.85</v>
      </c>
      <c r="S18" s="53">
        <v>33.450000000000003</v>
      </c>
      <c r="T18" s="53">
        <v>21.88</v>
      </c>
      <c r="U18" s="131">
        <v>4540</v>
      </c>
      <c r="V18" s="118"/>
      <c r="W18" s="131">
        <v>4541</v>
      </c>
      <c r="X18" s="118"/>
      <c r="Y18" s="130"/>
      <c r="Z18" s="118"/>
      <c r="AA18" s="132" t="s">
        <v>131</v>
      </c>
      <c r="AB18" s="121"/>
      <c r="AC18" s="121"/>
      <c r="AD18" s="118"/>
    </row>
    <row r="19" spans="1:30" ht="14">
      <c r="A19" s="51"/>
      <c r="B19" s="51" t="s">
        <v>35</v>
      </c>
      <c r="C19" s="52">
        <v>0.46041666666666664</v>
      </c>
      <c r="D19" s="53">
        <v>33.799999999999997</v>
      </c>
      <c r="E19" s="53">
        <v>76.400000000000006</v>
      </c>
      <c r="F19" s="56" t="s">
        <v>140</v>
      </c>
      <c r="G19" s="53">
        <v>0</v>
      </c>
      <c r="H19" s="53">
        <v>209</v>
      </c>
      <c r="I19" s="53">
        <v>33</v>
      </c>
      <c r="J19" s="53">
        <v>380.6</v>
      </c>
      <c r="K19" s="134" t="s">
        <v>141</v>
      </c>
      <c r="L19" s="121"/>
      <c r="M19" s="121"/>
      <c r="N19" s="121"/>
      <c r="O19" s="53">
        <v>10</v>
      </c>
      <c r="P19" s="53">
        <v>16.97</v>
      </c>
      <c r="Q19" s="53">
        <v>50.88</v>
      </c>
      <c r="R19" s="53">
        <v>17.37</v>
      </c>
      <c r="S19" s="53">
        <v>16.079999999999998</v>
      </c>
      <c r="T19" s="53">
        <v>65.75</v>
      </c>
      <c r="U19" s="131">
        <v>4543</v>
      </c>
      <c r="V19" s="118"/>
      <c r="W19" s="131">
        <v>4545</v>
      </c>
      <c r="X19" s="118"/>
      <c r="Y19" s="130"/>
      <c r="Z19" s="118"/>
      <c r="AA19" s="132" t="s">
        <v>142</v>
      </c>
      <c r="AB19" s="121"/>
      <c r="AC19" s="121"/>
      <c r="AD19" s="118"/>
    </row>
    <row r="20" spans="1:30" ht="14">
      <c r="A20" s="51" t="s">
        <v>143</v>
      </c>
      <c r="B20" s="51" t="s">
        <v>35</v>
      </c>
      <c r="C20" s="52">
        <v>0.6333333333333333</v>
      </c>
      <c r="D20" s="53" t="s">
        <v>132</v>
      </c>
      <c r="E20" s="53" t="s">
        <v>132</v>
      </c>
      <c r="F20" s="53" t="s">
        <v>132</v>
      </c>
      <c r="G20" s="53" t="s">
        <v>132</v>
      </c>
      <c r="H20" s="53" t="s">
        <v>132</v>
      </c>
      <c r="I20" s="53" t="s">
        <v>132</v>
      </c>
      <c r="J20" s="53" t="s">
        <v>132</v>
      </c>
      <c r="K20" s="132" t="s">
        <v>132</v>
      </c>
      <c r="L20" s="121"/>
      <c r="M20" s="121"/>
      <c r="N20" s="121"/>
      <c r="O20" s="56" t="s">
        <v>132</v>
      </c>
      <c r="P20" s="56" t="s">
        <v>132</v>
      </c>
      <c r="Q20" s="56" t="s">
        <v>132</v>
      </c>
      <c r="R20" s="56" t="s">
        <v>132</v>
      </c>
      <c r="S20" s="56" t="s">
        <v>132</v>
      </c>
      <c r="T20" s="56" t="s">
        <v>132</v>
      </c>
      <c r="U20" s="131" t="s">
        <v>132</v>
      </c>
      <c r="V20" s="118"/>
      <c r="W20" s="131" t="s">
        <v>132</v>
      </c>
      <c r="X20" s="118"/>
      <c r="Y20" s="130"/>
      <c r="Z20" s="118"/>
      <c r="AA20" s="133" t="s">
        <v>144</v>
      </c>
      <c r="AB20" s="121"/>
      <c r="AC20" s="121"/>
      <c r="AD20" s="118"/>
    </row>
    <row r="21" spans="1:30" ht="14">
      <c r="A21" s="51"/>
      <c r="B21" s="51" t="s">
        <v>33</v>
      </c>
      <c r="C21" s="52">
        <v>0.64652777777777781</v>
      </c>
      <c r="D21" s="56">
        <v>28.2</v>
      </c>
      <c r="E21" s="56">
        <v>74.8</v>
      </c>
      <c r="F21" s="56">
        <v>2360</v>
      </c>
      <c r="G21" s="56">
        <v>0.9</v>
      </c>
      <c r="H21" s="53">
        <v>96</v>
      </c>
      <c r="I21" s="53">
        <v>22</v>
      </c>
      <c r="J21" s="53">
        <v>93.6</v>
      </c>
      <c r="K21" s="132" t="s">
        <v>145</v>
      </c>
      <c r="L21" s="121"/>
      <c r="M21" s="121"/>
      <c r="N21" s="121"/>
      <c r="O21" s="56">
        <v>50.7</v>
      </c>
      <c r="P21" s="56">
        <v>51.14</v>
      </c>
      <c r="Q21" s="56">
        <v>240</v>
      </c>
      <c r="R21" s="56">
        <v>218</v>
      </c>
      <c r="S21" s="56">
        <v>19.72</v>
      </c>
      <c r="T21" s="56">
        <v>17.52</v>
      </c>
      <c r="U21" s="131">
        <v>4549</v>
      </c>
      <c r="V21" s="118"/>
      <c r="W21" s="131">
        <v>4552</v>
      </c>
      <c r="X21" s="118"/>
      <c r="Y21" s="130"/>
      <c r="Z21" s="118"/>
      <c r="AA21" s="133" t="s">
        <v>146</v>
      </c>
      <c r="AB21" s="121"/>
      <c r="AC21" s="121"/>
      <c r="AD21" s="118"/>
    </row>
    <row r="22" spans="1:30" ht="14">
      <c r="A22" s="51"/>
      <c r="B22" s="51" t="s">
        <v>19</v>
      </c>
      <c r="C22" s="52">
        <v>0.67013888888888884</v>
      </c>
      <c r="D22" s="56" t="s">
        <v>132</v>
      </c>
      <c r="E22" s="56" t="s">
        <v>132</v>
      </c>
      <c r="F22" s="56" t="s">
        <v>132</v>
      </c>
      <c r="G22" s="56" t="s">
        <v>132</v>
      </c>
      <c r="H22" s="53">
        <v>231</v>
      </c>
      <c r="I22" s="53">
        <v>22</v>
      </c>
      <c r="J22" s="53">
        <v>600</v>
      </c>
      <c r="K22" s="132" t="s">
        <v>147</v>
      </c>
      <c r="L22" s="121"/>
      <c r="M22" s="121"/>
      <c r="N22" s="121"/>
      <c r="O22" s="56" t="s">
        <v>132</v>
      </c>
      <c r="P22" s="56" t="s">
        <v>132</v>
      </c>
      <c r="Q22" s="56" t="s">
        <v>132</v>
      </c>
      <c r="R22" s="56" t="s">
        <v>132</v>
      </c>
      <c r="S22" s="56" t="s">
        <v>132</v>
      </c>
      <c r="T22" s="56" t="s">
        <v>132</v>
      </c>
      <c r="U22" s="131">
        <v>4554</v>
      </c>
      <c r="V22" s="118"/>
      <c r="W22" s="131" t="s">
        <v>132</v>
      </c>
      <c r="X22" s="118"/>
      <c r="Y22" s="130"/>
      <c r="Z22" s="118"/>
      <c r="AA22" s="133" t="s">
        <v>133</v>
      </c>
      <c r="AB22" s="121"/>
      <c r="AC22" s="121"/>
      <c r="AD22" s="118"/>
    </row>
    <row r="23" spans="1:30" ht="14">
      <c r="A23" s="51"/>
      <c r="B23" s="51" t="s">
        <v>37</v>
      </c>
      <c r="C23" s="52">
        <v>0.68055555555555558</v>
      </c>
      <c r="D23" s="56" t="s">
        <v>132</v>
      </c>
      <c r="E23" s="56" t="s">
        <v>132</v>
      </c>
      <c r="F23" s="56" t="s">
        <v>132</v>
      </c>
      <c r="G23" s="56" t="s">
        <v>132</v>
      </c>
      <c r="H23" s="53">
        <v>209</v>
      </c>
      <c r="I23" s="53">
        <v>22</v>
      </c>
      <c r="J23" s="53">
        <v>522</v>
      </c>
      <c r="K23" s="132" t="s">
        <v>132</v>
      </c>
      <c r="L23" s="121"/>
      <c r="M23" s="121"/>
      <c r="N23" s="121"/>
      <c r="O23" s="56" t="s">
        <v>132</v>
      </c>
      <c r="P23" s="56" t="s">
        <v>132</v>
      </c>
      <c r="Q23" s="56" t="s">
        <v>132</v>
      </c>
      <c r="R23" s="56" t="s">
        <v>132</v>
      </c>
      <c r="S23" s="56" t="s">
        <v>132</v>
      </c>
      <c r="T23" s="56" t="s">
        <v>132</v>
      </c>
      <c r="U23" s="131">
        <v>4555</v>
      </c>
      <c r="V23" s="118"/>
      <c r="W23" s="131" t="s">
        <v>132</v>
      </c>
      <c r="X23" s="118"/>
      <c r="Y23" s="130"/>
      <c r="Z23" s="118"/>
      <c r="AA23" s="133" t="s">
        <v>133</v>
      </c>
      <c r="AB23" s="121"/>
      <c r="AC23" s="121"/>
      <c r="AD23" s="118"/>
    </row>
    <row r="24" spans="1:30" ht="14">
      <c r="A24" s="51"/>
      <c r="B24" s="51" t="s">
        <v>30</v>
      </c>
      <c r="C24" s="52">
        <v>0.69444444444444442</v>
      </c>
      <c r="D24" s="56" t="s">
        <v>132</v>
      </c>
      <c r="E24" s="56" t="s">
        <v>132</v>
      </c>
      <c r="F24" s="56" t="s">
        <v>132</v>
      </c>
      <c r="G24" s="56" t="s">
        <v>132</v>
      </c>
      <c r="H24" s="53">
        <v>175</v>
      </c>
      <c r="I24" s="53">
        <v>21</v>
      </c>
      <c r="J24" s="58">
        <v>143.19999999999999</v>
      </c>
      <c r="K24" s="132" t="s">
        <v>132</v>
      </c>
      <c r="L24" s="121"/>
      <c r="M24" s="121"/>
      <c r="N24" s="121"/>
      <c r="O24" s="56" t="s">
        <v>132</v>
      </c>
      <c r="P24" s="56" t="s">
        <v>132</v>
      </c>
      <c r="Q24" s="56" t="s">
        <v>132</v>
      </c>
      <c r="R24" s="56" t="s">
        <v>132</v>
      </c>
      <c r="S24" s="56" t="s">
        <v>132</v>
      </c>
      <c r="T24" s="56" t="s">
        <v>132</v>
      </c>
      <c r="U24" s="131">
        <v>4556</v>
      </c>
      <c r="V24" s="118"/>
      <c r="W24" s="131" t="s">
        <v>132</v>
      </c>
      <c r="X24" s="118"/>
      <c r="Y24" s="130"/>
      <c r="Z24" s="118"/>
      <c r="AA24" s="133" t="s">
        <v>133</v>
      </c>
      <c r="AB24" s="121"/>
      <c r="AC24" s="121"/>
      <c r="AD24" s="118"/>
    </row>
    <row r="25" spans="1:30" ht="14">
      <c r="A25" s="51" t="s">
        <v>148</v>
      </c>
      <c r="B25" s="51" t="s">
        <v>33</v>
      </c>
      <c r="C25" s="59">
        <v>0.89583333333333337</v>
      </c>
      <c r="D25" s="56">
        <v>29.6</v>
      </c>
      <c r="E25" s="56">
        <v>74.599999999999994</v>
      </c>
      <c r="F25" s="56">
        <v>0</v>
      </c>
      <c r="G25" s="56">
        <v>0.1</v>
      </c>
      <c r="H25" s="53">
        <v>126</v>
      </c>
      <c r="I25" s="53">
        <v>22</v>
      </c>
      <c r="J25" s="58">
        <v>19</v>
      </c>
      <c r="K25" s="132" t="s">
        <v>149</v>
      </c>
      <c r="L25" s="121"/>
      <c r="M25" s="121"/>
      <c r="N25" s="121"/>
      <c r="O25" s="56">
        <v>50.8</v>
      </c>
      <c r="P25" s="56">
        <v>12.65</v>
      </c>
      <c r="Q25" s="56">
        <v>110.61</v>
      </c>
      <c r="R25" s="56">
        <v>6.18</v>
      </c>
      <c r="S25" s="56">
        <v>0</v>
      </c>
      <c r="T25" s="56">
        <v>69.67</v>
      </c>
      <c r="U25" s="131">
        <v>4557</v>
      </c>
      <c r="V25" s="118"/>
      <c r="W25" s="131" t="s">
        <v>132</v>
      </c>
      <c r="X25" s="118"/>
      <c r="Y25" s="130"/>
      <c r="Z25" s="118"/>
      <c r="AA25" s="134" t="s">
        <v>150</v>
      </c>
      <c r="AB25" s="121"/>
      <c r="AC25" s="121"/>
      <c r="AD25" s="118"/>
    </row>
    <row r="26" spans="1:30" ht="14">
      <c r="A26" s="51" t="s">
        <v>151</v>
      </c>
      <c r="B26" s="51" t="s">
        <v>33</v>
      </c>
      <c r="C26" s="59">
        <v>0.6875</v>
      </c>
      <c r="D26" s="56">
        <v>26.1</v>
      </c>
      <c r="E26" s="56">
        <v>81</v>
      </c>
      <c r="F26" s="56">
        <v>4220</v>
      </c>
      <c r="G26" s="56">
        <v>0</v>
      </c>
      <c r="H26" s="53">
        <v>74</v>
      </c>
      <c r="I26" s="53">
        <v>23</v>
      </c>
      <c r="J26" s="58">
        <v>476</v>
      </c>
      <c r="K26" s="132" t="s">
        <v>152</v>
      </c>
      <c r="L26" s="121"/>
      <c r="M26" s="121"/>
      <c r="N26" s="121"/>
      <c r="O26" s="56">
        <v>43.3</v>
      </c>
      <c r="P26" s="56">
        <v>149.16</v>
      </c>
      <c r="Q26" s="56">
        <v>23.83</v>
      </c>
      <c r="R26" s="56">
        <v>43.84</v>
      </c>
      <c r="S26" s="56">
        <v>110.65</v>
      </c>
      <c r="T26" s="56">
        <v>23.04</v>
      </c>
      <c r="U26" s="131">
        <v>4648</v>
      </c>
      <c r="V26" s="118"/>
      <c r="W26" s="131">
        <v>4651</v>
      </c>
      <c r="X26" s="118"/>
      <c r="Y26" s="130"/>
      <c r="Z26" s="118"/>
      <c r="AA26" s="132" t="s">
        <v>153</v>
      </c>
      <c r="AB26" s="121"/>
      <c r="AC26" s="121"/>
      <c r="AD26" s="118"/>
    </row>
    <row r="27" spans="1:30" ht="14">
      <c r="A27" s="51" t="s">
        <v>154</v>
      </c>
      <c r="B27" s="51" t="s">
        <v>33</v>
      </c>
      <c r="C27" s="59">
        <v>0.1388888888888889</v>
      </c>
      <c r="D27" s="56">
        <v>25.4</v>
      </c>
      <c r="E27" s="56">
        <v>84.9</v>
      </c>
      <c r="F27" s="56">
        <v>0</v>
      </c>
      <c r="G27" s="56">
        <v>0</v>
      </c>
      <c r="H27" s="53">
        <v>69</v>
      </c>
      <c r="I27" s="53">
        <v>23</v>
      </c>
      <c r="J27" s="58">
        <v>567</v>
      </c>
      <c r="K27" s="132" t="s">
        <v>149</v>
      </c>
      <c r="L27" s="121"/>
      <c r="M27" s="121"/>
      <c r="N27" s="121"/>
      <c r="O27" s="56">
        <v>62.8</v>
      </c>
      <c r="P27" s="56">
        <v>42.08</v>
      </c>
      <c r="Q27" s="56">
        <v>194</v>
      </c>
      <c r="R27" s="56">
        <v>30.67</v>
      </c>
      <c r="S27" s="56" t="s">
        <v>155</v>
      </c>
      <c r="T27" s="56">
        <v>243</v>
      </c>
      <c r="U27" s="131">
        <v>4656</v>
      </c>
      <c r="V27" s="118"/>
      <c r="W27" s="131" t="s">
        <v>132</v>
      </c>
      <c r="X27" s="118"/>
      <c r="Y27" s="130"/>
      <c r="Z27" s="118"/>
      <c r="AA27" s="132" t="s">
        <v>132</v>
      </c>
      <c r="AB27" s="121"/>
      <c r="AC27" s="121"/>
      <c r="AD27" s="118"/>
    </row>
    <row r="28" spans="1:30" ht="14">
      <c r="A28" s="51" t="s">
        <v>156</v>
      </c>
      <c r="B28" s="51" t="s">
        <v>33</v>
      </c>
      <c r="C28" s="59">
        <v>0.29444444444444445</v>
      </c>
      <c r="D28" s="56">
        <v>26.3</v>
      </c>
      <c r="E28" s="56">
        <v>85</v>
      </c>
      <c r="F28" s="56">
        <v>13130</v>
      </c>
      <c r="G28" s="56">
        <v>0</v>
      </c>
      <c r="H28" s="53">
        <v>76</v>
      </c>
      <c r="I28" s="53">
        <v>23</v>
      </c>
      <c r="J28" s="58">
        <v>510</v>
      </c>
      <c r="K28" s="132" t="s">
        <v>157</v>
      </c>
      <c r="L28" s="121"/>
      <c r="M28" s="121"/>
      <c r="N28" s="121"/>
      <c r="O28" s="56">
        <v>49.9</v>
      </c>
      <c r="P28" s="56">
        <v>42.14</v>
      </c>
      <c r="Q28" s="56">
        <v>84.99</v>
      </c>
      <c r="R28" s="56">
        <v>35.200000000000003</v>
      </c>
      <c r="S28" s="56">
        <v>13.14</v>
      </c>
      <c r="T28" s="56">
        <v>25.19</v>
      </c>
      <c r="U28" s="131">
        <v>4677</v>
      </c>
      <c r="V28" s="118"/>
      <c r="W28" s="131">
        <v>4703</v>
      </c>
      <c r="X28" s="118"/>
      <c r="Y28" s="130"/>
      <c r="Z28" s="118"/>
      <c r="AA28" s="134"/>
      <c r="AB28" s="121"/>
      <c r="AC28" s="121"/>
      <c r="AD28" s="118"/>
    </row>
    <row r="29" spans="1:30" ht="12.5">
      <c r="A29" s="51" t="s">
        <v>158</v>
      </c>
      <c r="B29" s="60" t="s">
        <v>33</v>
      </c>
      <c r="C29" s="61">
        <v>0.70694444444444449</v>
      </c>
      <c r="D29" s="62">
        <v>29.7</v>
      </c>
      <c r="E29" s="62">
        <v>68</v>
      </c>
      <c r="F29" s="62">
        <v>1955</v>
      </c>
      <c r="G29" s="62">
        <v>0</v>
      </c>
      <c r="H29" s="62">
        <v>358</v>
      </c>
      <c r="I29" s="62">
        <v>28</v>
      </c>
      <c r="J29" s="62">
        <v>103.4</v>
      </c>
      <c r="K29" s="145" t="s">
        <v>159</v>
      </c>
      <c r="L29" s="121"/>
      <c r="M29" s="121"/>
      <c r="N29" s="118"/>
      <c r="O29" s="62">
        <v>86.3</v>
      </c>
      <c r="P29" s="62">
        <v>183.25</v>
      </c>
      <c r="Q29" s="62">
        <v>84.3</v>
      </c>
      <c r="R29" s="62">
        <v>120</v>
      </c>
      <c r="S29" s="62">
        <v>174</v>
      </c>
      <c r="T29" s="62" t="s">
        <v>155</v>
      </c>
      <c r="U29" s="123" t="s">
        <v>160</v>
      </c>
      <c r="V29" s="118"/>
      <c r="W29" s="123" t="s">
        <v>161</v>
      </c>
      <c r="X29" s="118"/>
      <c r="Y29" s="144"/>
      <c r="Z29" s="118"/>
      <c r="AA29" s="124"/>
      <c r="AB29" s="121"/>
      <c r="AC29" s="121"/>
      <c r="AD29" s="118"/>
    </row>
    <row r="30" spans="1:30" ht="14">
      <c r="A30" s="51" t="s">
        <v>162</v>
      </c>
      <c r="B30" s="51" t="s">
        <v>33</v>
      </c>
      <c r="C30" s="52">
        <v>0.1388888888888889</v>
      </c>
      <c r="D30" s="56">
        <v>25.3</v>
      </c>
      <c r="E30" s="56">
        <v>86.6</v>
      </c>
      <c r="F30" s="56">
        <v>0</v>
      </c>
      <c r="G30" s="56">
        <v>0</v>
      </c>
      <c r="H30" s="53">
        <v>354</v>
      </c>
      <c r="I30" s="53">
        <v>28</v>
      </c>
      <c r="J30" s="58">
        <v>73.3</v>
      </c>
      <c r="K30" s="132" t="s">
        <v>149</v>
      </c>
      <c r="L30" s="121"/>
      <c r="M30" s="121"/>
      <c r="N30" s="121"/>
      <c r="O30" s="56">
        <v>70.8</v>
      </c>
      <c r="P30" s="56">
        <v>19.79</v>
      </c>
      <c r="Q30" s="56">
        <v>245</v>
      </c>
      <c r="R30" s="56">
        <v>12.29</v>
      </c>
      <c r="S30" s="56">
        <v>226</v>
      </c>
      <c r="T30" s="56">
        <v>341</v>
      </c>
      <c r="U30" s="131">
        <v>4726</v>
      </c>
      <c r="V30" s="118"/>
      <c r="W30" s="131" t="s">
        <v>132</v>
      </c>
      <c r="X30" s="118"/>
      <c r="Y30" s="130"/>
      <c r="Z30" s="118"/>
      <c r="AA30" s="134"/>
      <c r="AB30" s="121"/>
      <c r="AC30" s="121"/>
      <c r="AD30" s="118"/>
    </row>
    <row r="31" spans="1:30" ht="14">
      <c r="A31" s="51" t="s">
        <v>163</v>
      </c>
      <c r="B31" s="51" t="s">
        <v>39</v>
      </c>
      <c r="C31" s="52">
        <v>0.60486111111111107</v>
      </c>
      <c r="D31" s="56">
        <v>31.2</v>
      </c>
      <c r="E31" s="56">
        <v>74.900000000000006</v>
      </c>
      <c r="F31" s="56">
        <v>12910</v>
      </c>
      <c r="G31" s="56">
        <v>0</v>
      </c>
      <c r="H31" s="53">
        <v>241</v>
      </c>
      <c r="I31" s="53">
        <v>25</v>
      </c>
      <c r="J31" s="53">
        <v>148.80000000000001</v>
      </c>
      <c r="K31" s="132" t="s">
        <v>152</v>
      </c>
      <c r="L31" s="121"/>
      <c r="M31" s="121"/>
      <c r="N31" s="121"/>
      <c r="O31" s="56">
        <v>27</v>
      </c>
      <c r="P31" s="56">
        <v>12.49</v>
      </c>
      <c r="Q31" s="56">
        <v>142</v>
      </c>
      <c r="R31" s="56">
        <v>380</v>
      </c>
      <c r="S31" s="56">
        <v>68.33</v>
      </c>
      <c r="T31" s="56">
        <v>228</v>
      </c>
      <c r="U31" s="131">
        <v>4747</v>
      </c>
      <c r="V31" s="118"/>
      <c r="W31" s="131">
        <v>4748</v>
      </c>
      <c r="X31" s="118"/>
      <c r="Y31" s="130"/>
      <c r="Z31" s="118"/>
      <c r="AA31" s="134" t="s">
        <v>164</v>
      </c>
      <c r="AB31" s="121"/>
      <c r="AC31" s="121"/>
      <c r="AD31" s="118"/>
    </row>
    <row r="32" spans="1:30" ht="14">
      <c r="A32" s="51" t="s">
        <v>165</v>
      </c>
      <c r="B32" s="51" t="s">
        <v>44</v>
      </c>
      <c r="C32" s="52">
        <v>0.61458333333333337</v>
      </c>
      <c r="D32" s="56">
        <v>31.3</v>
      </c>
      <c r="E32" s="56">
        <v>75.7</v>
      </c>
      <c r="F32" s="56">
        <v>13360</v>
      </c>
      <c r="G32" s="56">
        <v>0</v>
      </c>
      <c r="H32" s="53">
        <v>171</v>
      </c>
      <c r="I32" s="53">
        <v>28</v>
      </c>
      <c r="J32" s="58">
        <v>168.3</v>
      </c>
      <c r="K32" s="132" t="s">
        <v>152</v>
      </c>
      <c r="L32" s="121"/>
      <c r="M32" s="121"/>
      <c r="N32" s="121"/>
      <c r="O32" s="56">
        <v>45.6</v>
      </c>
      <c r="P32" s="56">
        <v>46.51</v>
      </c>
      <c r="Q32" s="56">
        <v>26.96</v>
      </c>
      <c r="R32" s="56">
        <v>27.09</v>
      </c>
      <c r="S32" s="56">
        <v>50.93</v>
      </c>
      <c r="T32" s="56">
        <v>49.3</v>
      </c>
      <c r="U32" s="131">
        <v>4750</v>
      </c>
      <c r="V32" s="118"/>
      <c r="W32" s="131">
        <v>4751</v>
      </c>
      <c r="X32" s="118"/>
      <c r="Y32" s="130"/>
      <c r="Z32" s="118"/>
      <c r="AA32" s="134"/>
      <c r="AB32" s="121"/>
      <c r="AC32" s="121"/>
      <c r="AD32" s="118"/>
    </row>
    <row r="33" spans="1:32" ht="14">
      <c r="A33" s="51"/>
      <c r="B33" s="51" t="s">
        <v>33</v>
      </c>
      <c r="C33" s="52">
        <v>0.625</v>
      </c>
      <c r="D33" s="56">
        <v>31.1</v>
      </c>
      <c r="E33" s="56">
        <v>730</v>
      </c>
      <c r="F33" s="56">
        <v>8080</v>
      </c>
      <c r="G33" s="56">
        <v>0</v>
      </c>
      <c r="H33" s="53">
        <v>215</v>
      </c>
      <c r="I33" s="53">
        <v>28</v>
      </c>
      <c r="J33" s="58">
        <v>224.7</v>
      </c>
      <c r="K33" s="132" t="s">
        <v>152</v>
      </c>
      <c r="L33" s="121"/>
      <c r="M33" s="121"/>
      <c r="N33" s="121"/>
      <c r="O33" s="56">
        <v>123.7</v>
      </c>
      <c r="P33" s="56">
        <v>60.87</v>
      </c>
      <c r="Q33" s="56">
        <v>15.59</v>
      </c>
      <c r="R33" s="56">
        <v>19.03</v>
      </c>
      <c r="S33" s="56">
        <v>25.48</v>
      </c>
      <c r="T33" s="56">
        <v>54.14</v>
      </c>
      <c r="U33" s="131">
        <v>4753</v>
      </c>
      <c r="V33" s="118"/>
      <c r="W33" s="131">
        <v>4756</v>
      </c>
      <c r="X33" s="118"/>
      <c r="Y33" s="130"/>
      <c r="Z33" s="118"/>
      <c r="AA33" s="134"/>
      <c r="AB33" s="121"/>
      <c r="AC33" s="121"/>
      <c r="AD33" s="118"/>
      <c r="AE33" s="64"/>
      <c r="AF33" s="64"/>
    </row>
    <row r="34" spans="1:32" ht="14">
      <c r="A34" s="51"/>
      <c r="B34" s="51" t="s">
        <v>23</v>
      </c>
      <c r="C34" s="56" t="s">
        <v>132</v>
      </c>
      <c r="D34" s="56" t="s">
        <v>132</v>
      </c>
      <c r="E34" s="56" t="s">
        <v>132</v>
      </c>
      <c r="F34" s="56" t="s">
        <v>132</v>
      </c>
      <c r="G34" s="56" t="s">
        <v>132</v>
      </c>
      <c r="H34" s="56" t="s">
        <v>132</v>
      </c>
      <c r="I34" s="56" t="s">
        <v>132</v>
      </c>
      <c r="J34" s="56" t="s">
        <v>132</v>
      </c>
      <c r="K34" s="132" t="s">
        <v>132</v>
      </c>
      <c r="L34" s="121"/>
      <c r="M34" s="121"/>
      <c r="N34" s="118"/>
      <c r="O34" s="56" t="s">
        <v>132</v>
      </c>
      <c r="P34" s="56" t="s">
        <v>132</v>
      </c>
      <c r="Q34" s="56" t="s">
        <v>132</v>
      </c>
      <c r="R34" s="56" t="s">
        <v>132</v>
      </c>
      <c r="S34" s="56" t="s">
        <v>132</v>
      </c>
      <c r="T34" s="56" t="s">
        <v>132</v>
      </c>
      <c r="U34" s="130"/>
      <c r="V34" s="118"/>
      <c r="W34" s="130"/>
      <c r="X34" s="118"/>
      <c r="Y34" s="130"/>
      <c r="Z34" s="118"/>
      <c r="AA34" s="137" t="s">
        <v>133</v>
      </c>
      <c r="AB34" s="121"/>
      <c r="AC34" s="121"/>
      <c r="AD34" s="118"/>
      <c r="AE34" s="64"/>
      <c r="AF34" s="64"/>
    </row>
    <row r="35" spans="1:32" ht="14">
      <c r="A35" s="51"/>
      <c r="B35" s="51" t="s">
        <v>42</v>
      </c>
      <c r="C35" s="52">
        <v>0.64236111111111116</v>
      </c>
      <c r="D35" s="56">
        <v>30.7</v>
      </c>
      <c r="E35" s="56">
        <v>8.0500000000000007</v>
      </c>
      <c r="F35" s="56">
        <v>5591</v>
      </c>
      <c r="G35" s="56">
        <v>0</v>
      </c>
      <c r="H35" s="53">
        <v>302</v>
      </c>
      <c r="I35" s="53">
        <v>24</v>
      </c>
      <c r="J35" s="53">
        <v>297.10000000000002</v>
      </c>
      <c r="K35" s="132" t="s">
        <v>152</v>
      </c>
      <c r="L35" s="121"/>
      <c r="M35" s="121"/>
      <c r="N35" s="121"/>
      <c r="O35" s="56">
        <v>26.8</v>
      </c>
      <c r="P35" s="56">
        <v>6.33</v>
      </c>
      <c r="Q35" s="56">
        <v>23.61</v>
      </c>
      <c r="R35" s="56">
        <v>5.57</v>
      </c>
      <c r="S35" s="56">
        <v>61.2</v>
      </c>
      <c r="T35" s="56">
        <v>52.13</v>
      </c>
      <c r="U35" s="131">
        <v>4757</v>
      </c>
      <c r="V35" s="118"/>
      <c r="W35" s="131">
        <v>4758</v>
      </c>
      <c r="X35" s="118"/>
      <c r="Y35" s="130"/>
      <c r="Z35" s="118"/>
      <c r="AA35" s="132" t="s">
        <v>166</v>
      </c>
      <c r="AB35" s="121"/>
      <c r="AC35" s="121"/>
      <c r="AD35" s="118"/>
      <c r="AE35" s="64"/>
      <c r="AF35" s="64"/>
    </row>
    <row r="36" spans="1:32" ht="14">
      <c r="A36" s="51"/>
      <c r="B36" s="51" t="s">
        <v>48</v>
      </c>
      <c r="C36" s="52">
        <v>0.65694444444444444</v>
      </c>
      <c r="D36" s="53"/>
      <c r="E36" s="53"/>
      <c r="F36" s="53"/>
      <c r="G36" s="53"/>
      <c r="H36" s="53">
        <v>152</v>
      </c>
      <c r="I36" s="53">
        <v>30</v>
      </c>
      <c r="J36" s="53">
        <v>168</v>
      </c>
      <c r="K36" s="134"/>
      <c r="L36" s="121"/>
      <c r="M36" s="121"/>
      <c r="N36" s="121"/>
      <c r="O36" s="53"/>
      <c r="P36" s="53"/>
      <c r="Q36" s="53"/>
      <c r="R36" s="53"/>
      <c r="S36" s="53"/>
      <c r="T36" s="53"/>
      <c r="U36" s="131">
        <v>4760</v>
      </c>
      <c r="V36" s="118"/>
      <c r="W36" s="130"/>
      <c r="X36" s="118"/>
      <c r="Y36" s="130"/>
      <c r="Z36" s="118"/>
      <c r="AA36" s="137" t="s">
        <v>133</v>
      </c>
      <c r="AB36" s="121"/>
      <c r="AC36" s="121"/>
      <c r="AD36" s="118"/>
      <c r="AE36" s="64"/>
      <c r="AF36" s="64"/>
    </row>
    <row r="37" spans="1:32" ht="14">
      <c r="A37" s="51"/>
      <c r="B37" s="51" t="s">
        <v>46</v>
      </c>
      <c r="C37" s="52">
        <v>0.6694444444444444</v>
      </c>
      <c r="D37" s="56">
        <v>30.5</v>
      </c>
      <c r="E37" s="56">
        <v>77.2</v>
      </c>
      <c r="F37" s="56">
        <v>1168</v>
      </c>
      <c r="G37" s="56">
        <v>0</v>
      </c>
      <c r="H37" s="53">
        <v>106</v>
      </c>
      <c r="I37" s="53">
        <v>33</v>
      </c>
      <c r="J37" s="53">
        <v>1000</v>
      </c>
      <c r="K37" s="132" t="s">
        <v>134</v>
      </c>
      <c r="L37" s="121"/>
      <c r="M37" s="121"/>
      <c r="N37" s="121"/>
      <c r="O37" s="56">
        <v>59.1</v>
      </c>
      <c r="P37" s="56">
        <v>28.39</v>
      </c>
      <c r="Q37" s="56">
        <v>97.15</v>
      </c>
      <c r="R37" s="56">
        <v>314</v>
      </c>
      <c r="S37" s="56">
        <v>59.41</v>
      </c>
      <c r="T37" s="56">
        <v>57.7</v>
      </c>
      <c r="U37" s="131">
        <v>4761</v>
      </c>
      <c r="V37" s="118"/>
      <c r="W37" s="131">
        <v>4762</v>
      </c>
      <c r="X37" s="118"/>
      <c r="Y37" s="130"/>
      <c r="Z37" s="118"/>
      <c r="AA37" s="134"/>
      <c r="AB37" s="121"/>
      <c r="AC37" s="121"/>
      <c r="AD37" s="118"/>
      <c r="AE37" s="64"/>
      <c r="AF37" s="64"/>
    </row>
    <row r="38" spans="1:32" ht="14">
      <c r="A38" s="65" t="s">
        <v>167</v>
      </c>
      <c r="B38" s="65" t="s">
        <v>46</v>
      </c>
      <c r="C38" s="66">
        <v>0.49305555555555558</v>
      </c>
      <c r="D38" s="56">
        <v>25.4</v>
      </c>
      <c r="E38" s="56">
        <v>86.6</v>
      </c>
      <c r="F38" s="56">
        <v>0</v>
      </c>
      <c r="G38" s="56">
        <v>0</v>
      </c>
      <c r="H38" s="56">
        <v>185</v>
      </c>
      <c r="I38" s="56">
        <v>21</v>
      </c>
      <c r="J38" s="56">
        <v>349.6</v>
      </c>
      <c r="K38" s="132" t="s">
        <v>149</v>
      </c>
      <c r="L38" s="121"/>
      <c r="M38" s="121"/>
      <c r="N38" s="121"/>
      <c r="O38" s="56">
        <v>754.3</v>
      </c>
      <c r="P38" s="56">
        <v>30.48</v>
      </c>
      <c r="Q38" s="56">
        <v>348</v>
      </c>
      <c r="R38" s="56">
        <v>83.01</v>
      </c>
      <c r="S38" s="56">
        <v>31.49</v>
      </c>
      <c r="T38" s="56">
        <v>443</v>
      </c>
      <c r="U38" s="131">
        <v>4781</v>
      </c>
      <c r="V38" s="118"/>
      <c r="W38" s="130"/>
      <c r="X38" s="118"/>
      <c r="Y38" s="130"/>
      <c r="Z38" s="118"/>
      <c r="AA38" s="134"/>
      <c r="AB38" s="121"/>
      <c r="AC38" s="121"/>
      <c r="AD38" s="118"/>
      <c r="AE38" s="64"/>
      <c r="AF38" s="64"/>
    </row>
    <row r="39" spans="1:32" ht="14">
      <c r="A39" s="51"/>
      <c r="B39" s="65" t="s">
        <v>39</v>
      </c>
      <c r="C39" s="66">
        <v>0.50347222222222221</v>
      </c>
      <c r="D39" s="56">
        <v>26.3</v>
      </c>
      <c r="E39" s="56">
        <v>82.2</v>
      </c>
      <c r="F39" s="56">
        <v>0</v>
      </c>
      <c r="G39" s="56">
        <v>0</v>
      </c>
      <c r="H39" s="56">
        <v>239</v>
      </c>
      <c r="I39" s="56">
        <v>25</v>
      </c>
      <c r="J39" s="56">
        <v>185.7</v>
      </c>
      <c r="K39" s="132" t="s">
        <v>149</v>
      </c>
      <c r="L39" s="121"/>
      <c r="M39" s="121"/>
      <c r="N39" s="121"/>
      <c r="O39" s="56">
        <v>76.900000000000006</v>
      </c>
      <c r="P39" s="56">
        <v>18.829999999999998</v>
      </c>
      <c r="Q39" s="56">
        <v>960</v>
      </c>
      <c r="R39" s="56">
        <v>33.17</v>
      </c>
      <c r="S39" s="56">
        <v>66.290000000000006</v>
      </c>
      <c r="T39" s="56">
        <v>200</v>
      </c>
      <c r="U39" s="131">
        <v>4782</v>
      </c>
      <c r="V39" s="118"/>
      <c r="W39" s="130"/>
      <c r="X39" s="118"/>
      <c r="Y39" s="130"/>
      <c r="Z39" s="118"/>
      <c r="AA39" s="134"/>
      <c r="AB39" s="121"/>
      <c r="AC39" s="121"/>
      <c r="AD39" s="118"/>
      <c r="AE39" s="64"/>
      <c r="AF39" s="64"/>
    </row>
    <row r="40" spans="1:32" ht="14">
      <c r="A40" s="51"/>
      <c r="B40" s="65" t="s">
        <v>42</v>
      </c>
      <c r="C40" s="66">
        <v>0.51249999999999996</v>
      </c>
      <c r="D40" s="56">
        <v>26.5</v>
      </c>
      <c r="E40" s="56">
        <v>82.9</v>
      </c>
      <c r="F40" s="56">
        <v>0</v>
      </c>
      <c r="G40" s="56">
        <v>0</v>
      </c>
      <c r="H40" s="56">
        <v>311</v>
      </c>
      <c r="I40" s="56">
        <v>24</v>
      </c>
      <c r="J40" s="56">
        <v>168</v>
      </c>
      <c r="K40" s="132" t="s">
        <v>149</v>
      </c>
      <c r="L40" s="121"/>
      <c r="M40" s="121"/>
      <c r="N40" s="121"/>
      <c r="O40" s="56">
        <v>78.7</v>
      </c>
      <c r="P40" s="56">
        <v>45.7</v>
      </c>
      <c r="Q40" s="56">
        <v>24.14</v>
      </c>
      <c r="R40" s="56">
        <v>56.96</v>
      </c>
      <c r="S40" s="56">
        <v>35.340000000000003</v>
      </c>
      <c r="T40" s="56">
        <v>29.2</v>
      </c>
      <c r="U40" s="131">
        <v>4784</v>
      </c>
      <c r="V40" s="118"/>
      <c r="W40" s="130"/>
      <c r="X40" s="118"/>
      <c r="Y40" s="130"/>
      <c r="Z40" s="118"/>
      <c r="AA40" s="134"/>
      <c r="AB40" s="121"/>
      <c r="AC40" s="121"/>
      <c r="AD40" s="118"/>
      <c r="AE40" s="64"/>
      <c r="AF40" s="64"/>
    </row>
    <row r="41" spans="1:32" ht="14">
      <c r="A41" s="51"/>
      <c r="B41" s="65" t="s">
        <v>33</v>
      </c>
      <c r="C41" s="66">
        <v>0.51736111111111116</v>
      </c>
      <c r="D41" s="56">
        <v>26.6</v>
      </c>
      <c r="E41" s="56">
        <v>80.7</v>
      </c>
      <c r="F41" s="56">
        <v>0</v>
      </c>
      <c r="G41" s="56">
        <v>0</v>
      </c>
      <c r="H41" s="56">
        <v>198</v>
      </c>
      <c r="I41" s="56">
        <v>28</v>
      </c>
      <c r="J41" s="56">
        <v>203</v>
      </c>
      <c r="K41" s="132" t="s">
        <v>149</v>
      </c>
      <c r="L41" s="121"/>
      <c r="M41" s="121"/>
      <c r="N41" s="121"/>
      <c r="O41" s="56">
        <v>157.5</v>
      </c>
      <c r="P41" s="56">
        <v>24.37</v>
      </c>
      <c r="Q41" s="56" t="s">
        <v>155</v>
      </c>
      <c r="R41" s="56">
        <v>208</v>
      </c>
      <c r="S41" s="56">
        <v>22.98</v>
      </c>
      <c r="T41" s="56">
        <v>423</v>
      </c>
      <c r="U41" s="131">
        <v>4786</v>
      </c>
      <c r="V41" s="118"/>
      <c r="W41" s="130"/>
      <c r="X41" s="118"/>
      <c r="Y41" s="130"/>
      <c r="Z41" s="118"/>
      <c r="AA41" s="134"/>
      <c r="AB41" s="121"/>
      <c r="AC41" s="121"/>
      <c r="AD41" s="118"/>
      <c r="AE41" s="64"/>
      <c r="AF41" s="64"/>
    </row>
    <row r="42" spans="1:32" ht="14">
      <c r="B42" s="65" t="s">
        <v>44</v>
      </c>
      <c r="C42" s="66">
        <v>0.51736111111111116</v>
      </c>
      <c r="D42" s="56">
        <v>26.6</v>
      </c>
      <c r="E42" s="56">
        <v>80.400000000000006</v>
      </c>
      <c r="F42" s="56">
        <v>0</v>
      </c>
      <c r="G42" s="56">
        <v>0</v>
      </c>
      <c r="H42" s="56">
        <v>201</v>
      </c>
      <c r="I42" s="56">
        <v>28</v>
      </c>
      <c r="J42" s="56">
        <v>171.5</v>
      </c>
      <c r="K42" s="132" t="s">
        <v>149</v>
      </c>
      <c r="L42" s="121"/>
      <c r="M42" s="121"/>
      <c r="N42" s="121"/>
      <c r="O42" s="56">
        <v>133.19999999999999</v>
      </c>
      <c r="P42" s="56">
        <v>19.170000000000002</v>
      </c>
      <c r="Q42" s="56" t="s">
        <v>155</v>
      </c>
      <c r="R42" s="56">
        <v>141.33000000000001</v>
      </c>
      <c r="S42" s="56">
        <v>132.5</v>
      </c>
      <c r="T42" s="56">
        <v>490</v>
      </c>
      <c r="U42" s="131">
        <v>4785</v>
      </c>
      <c r="V42" s="118"/>
      <c r="W42" s="130"/>
      <c r="X42" s="118"/>
      <c r="Y42" s="130"/>
      <c r="Z42" s="118"/>
      <c r="AA42" s="134"/>
      <c r="AB42" s="121"/>
      <c r="AC42" s="121"/>
      <c r="AD42" s="118"/>
      <c r="AE42" s="64"/>
      <c r="AF42" s="64"/>
    </row>
    <row r="43" spans="1:32" ht="14">
      <c r="A43" s="65" t="s">
        <v>168</v>
      </c>
      <c r="B43" s="65" t="s">
        <v>42</v>
      </c>
      <c r="C43" s="66">
        <v>0.30208333333333331</v>
      </c>
      <c r="D43" s="56">
        <v>26.4</v>
      </c>
      <c r="E43" s="56">
        <v>89.3</v>
      </c>
      <c r="F43" s="56" t="s">
        <v>169</v>
      </c>
      <c r="G43" s="56">
        <v>0</v>
      </c>
      <c r="H43" s="56">
        <v>328</v>
      </c>
      <c r="I43" s="56">
        <v>24</v>
      </c>
      <c r="J43" s="56">
        <v>289.3</v>
      </c>
      <c r="K43" s="132" t="s">
        <v>170</v>
      </c>
      <c r="L43" s="121"/>
      <c r="M43" s="121"/>
      <c r="N43" s="121"/>
      <c r="O43" s="56">
        <v>51.7</v>
      </c>
      <c r="P43" s="56">
        <v>35.51</v>
      </c>
      <c r="Q43" s="56">
        <v>64.150000000000006</v>
      </c>
      <c r="R43" s="56">
        <v>73.33</v>
      </c>
      <c r="S43" s="56">
        <v>14.71</v>
      </c>
      <c r="T43" s="56">
        <v>8.34</v>
      </c>
      <c r="U43" s="131">
        <v>4808</v>
      </c>
      <c r="V43" s="118"/>
      <c r="W43" s="131">
        <v>4809</v>
      </c>
      <c r="X43" s="118"/>
      <c r="Y43" s="130"/>
      <c r="Z43" s="118"/>
      <c r="AA43" s="132" t="s">
        <v>171</v>
      </c>
      <c r="AB43" s="121"/>
      <c r="AC43" s="121"/>
      <c r="AD43" s="118"/>
      <c r="AE43" s="64"/>
      <c r="AF43" s="64"/>
    </row>
    <row r="44" spans="1:32" ht="14">
      <c r="A44" s="51"/>
      <c r="B44" s="65" t="s">
        <v>44</v>
      </c>
      <c r="C44" s="66">
        <v>0.31041666666666667</v>
      </c>
      <c r="D44" s="56">
        <v>30.7</v>
      </c>
      <c r="E44" s="56">
        <v>74.8</v>
      </c>
      <c r="F44" s="56" t="s">
        <v>172</v>
      </c>
      <c r="G44" s="56">
        <v>0</v>
      </c>
      <c r="H44" s="56">
        <v>223</v>
      </c>
      <c r="I44" s="56">
        <v>28</v>
      </c>
      <c r="J44" s="56">
        <v>134.5</v>
      </c>
      <c r="K44" s="132" t="s">
        <v>173</v>
      </c>
      <c r="L44" s="121"/>
      <c r="M44" s="121"/>
      <c r="N44" s="121"/>
      <c r="O44" s="56">
        <v>34.4</v>
      </c>
      <c r="P44" s="56">
        <v>33.299999999999997</v>
      </c>
      <c r="Q44" s="56">
        <v>46.46</v>
      </c>
      <c r="R44" s="56">
        <v>69.56</v>
      </c>
      <c r="S44" s="56">
        <v>49.57</v>
      </c>
      <c r="T44" s="56">
        <v>29.14</v>
      </c>
      <c r="U44" s="131">
        <v>4811</v>
      </c>
      <c r="V44" s="118"/>
      <c r="W44" s="131">
        <v>4816</v>
      </c>
      <c r="X44" s="118"/>
      <c r="Y44" s="130"/>
      <c r="Z44" s="118"/>
      <c r="AA44" s="132" t="s">
        <v>174</v>
      </c>
      <c r="AB44" s="121"/>
      <c r="AC44" s="121"/>
      <c r="AD44" s="118"/>
      <c r="AE44" s="34"/>
      <c r="AF44" s="34"/>
    </row>
    <row r="45" spans="1:32" ht="14">
      <c r="A45" s="51"/>
      <c r="B45" s="65" t="s">
        <v>33</v>
      </c>
      <c r="C45" s="66">
        <v>0.31111111111111112</v>
      </c>
      <c r="D45" s="56">
        <v>31.3</v>
      </c>
      <c r="E45" s="56">
        <v>73.7</v>
      </c>
      <c r="F45" s="56" t="s">
        <v>175</v>
      </c>
      <c r="G45" s="56">
        <v>0</v>
      </c>
      <c r="H45" s="56">
        <v>224</v>
      </c>
      <c r="I45" s="56">
        <v>28</v>
      </c>
      <c r="J45" s="67">
        <v>193.4</v>
      </c>
      <c r="K45" s="132" t="s">
        <v>176</v>
      </c>
      <c r="L45" s="121"/>
      <c r="M45" s="121"/>
      <c r="N45" s="121"/>
      <c r="O45" s="56">
        <v>126.6</v>
      </c>
      <c r="P45" s="56">
        <v>17.260000000000002</v>
      </c>
      <c r="Q45" s="56">
        <v>86.56</v>
      </c>
      <c r="R45" s="56">
        <v>5.63</v>
      </c>
      <c r="S45" s="56">
        <v>192</v>
      </c>
      <c r="T45" s="56">
        <v>292</v>
      </c>
      <c r="U45" s="131">
        <v>4813</v>
      </c>
      <c r="V45" s="118"/>
      <c r="W45" s="131">
        <v>4818</v>
      </c>
      <c r="X45" s="118"/>
      <c r="Y45" s="130"/>
      <c r="Z45" s="118"/>
      <c r="AA45" s="132" t="s">
        <v>177</v>
      </c>
      <c r="AB45" s="121"/>
      <c r="AC45" s="121"/>
      <c r="AD45" s="118"/>
      <c r="AE45" s="34"/>
      <c r="AF45" s="34"/>
    </row>
    <row r="46" spans="1:32" ht="14">
      <c r="A46" s="51"/>
      <c r="B46" s="65" t="s">
        <v>39</v>
      </c>
      <c r="C46" s="68">
        <v>0.33124999999999999</v>
      </c>
      <c r="D46" s="56">
        <v>33</v>
      </c>
      <c r="E46" s="56">
        <v>66.7</v>
      </c>
      <c r="F46" s="56">
        <v>4790</v>
      </c>
      <c r="G46" s="56">
        <v>0</v>
      </c>
      <c r="H46" s="56">
        <v>221</v>
      </c>
      <c r="I46" s="56">
        <v>25</v>
      </c>
      <c r="J46" s="67">
        <v>192.2</v>
      </c>
      <c r="K46" s="132" t="s">
        <v>178</v>
      </c>
      <c r="L46" s="121"/>
      <c r="M46" s="121"/>
      <c r="N46" s="121"/>
      <c r="O46" s="56">
        <v>28</v>
      </c>
      <c r="P46" s="56">
        <v>35.57</v>
      </c>
      <c r="Q46" s="56">
        <v>38.71</v>
      </c>
      <c r="R46" s="56">
        <v>111.02</v>
      </c>
      <c r="S46" s="56">
        <v>78.03</v>
      </c>
      <c r="T46" s="56">
        <v>115.57</v>
      </c>
      <c r="U46" s="131">
        <v>4820</v>
      </c>
      <c r="V46" s="118"/>
      <c r="W46" s="131">
        <v>4821</v>
      </c>
      <c r="X46" s="118"/>
      <c r="Y46" s="130"/>
      <c r="Z46" s="118"/>
      <c r="AA46" s="132" t="s">
        <v>179</v>
      </c>
      <c r="AB46" s="121"/>
      <c r="AC46" s="121"/>
      <c r="AD46" s="118"/>
      <c r="AE46" s="34"/>
      <c r="AF46" s="34"/>
    </row>
    <row r="47" spans="1:32" ht="15.5">
      <c r="A47" s="51"/>
      <c r="B47" s="65" t="s">
        <v>46</v>
      </c>
      <c r="C47" s="68">
        <v>0.34027777777777779</v>
      </c>
      <c r="D47" s="56">
        <v>36</v>
      </c>
      <c r="E47" s="56">
        <v>59.2</v>
      </c>
      <c r="F47" s="56">
        <v>809</v>
      </c>
      <c r="G47" s="56">
        <v>0</v>
      </c>
      <c r="H47" s="56">
        <v>196</v>
      </c>
      <c r="I47" s="56">
        <v>21</v>
      </c>
      <c r="J47" s="67">
        <v>402</v>
      </c>
      <c r="K47" s="132" t="s">
        <v>180</v>
      </c>
      <c r="L47" s="121"/>
      <c r="M47" s="121"/>
      <c r="N47" s="121"/>
      <c r="O47" s="56">
        <v>67.7</v>
      </c>
      <c r="P47" s="56">
        <v>12.52</v>
      </c>
      <c r="Q47" s="56">
        <v>111.98</v>
      </c>
      <c r="R47" s="56">
        <v>21.96</v>
      </c>
      <c r="S47" s="56">
        <v>81.62</v>
      </c>
      <c r="T47" s="56">
        <v>65.89</v>
      </c>
      <c r="U47" s="131">
        <v>4828</v>
      </c>
      <c r="V47" s="118"/>
      <c r="W47" s="131">
        <v>4834</v>
      </c>
      <c r="X47" s="118"/>
      <c r="Y47" s="130"/>
      <c r="Z47" s="118"/>
      <c r="AA47" s="135" t="s">
        <v>181</v>
      </c>
      <c r="AB47" s="121"/>
      <c r="AC47" s="121"/>
      <c r="AD47" s="118"/>
      <c r="AE47" s="69"/>
      <c r="AF47" s="69"/>
    </row>
    <row r="48" spans="1:32" ht="14">
      <c r="A48" s="65" t="s">
        <v>182</v>
      </c>
      <c r="B48" s="65" t="s">
        <v>39</v>
      </c>
      <c r="C48" s="68">
        <v>0.46458333333333335</v>
      </c>
      <c r="D48" s="56">
        <v>33.700000000000003</v>
      </c>
      <c r="E48" s="56">
        <v>67.7</v>
      </c>
      <c r="F48" s="56">
        <v>8930</v>
      </c>
      <c r="G48" s="56">
        <v>0</v>
      </c>
      <c r="H48" s="56">
        <v>110</v>
      </c>
      <c r="I48" s="56">
        <v>25</v>
      </c>
      <c r="J48" s="67">
        <v>144</v>
      </c>
      <c r="K48" s="132" t="s">
        <v>183</v>
      </c>
      <c r="L48" s="121"/>
      <c r="M48" s="121"/>
      <c r="N48" s="121"/>
      <c r="O48" s="53">
        <v>27.4</v>
      </c>
      <c r="P48" s="53">
        <v>27.94</v>
      </c>
      <c r="Q48" s="53">
        <v>34.49</v>
      </c>
      <c r="R48" s="53">
        <v>10.4</v>
      </c>
      <c r="S48" s="53">
        <v>15.43</v>
      </c>
      <c r="T48" s="53">
        <v>31.49</v>
      </c>
      <c r="U48" s="130">
        <v>4836</v>
      </c>
      <c r="V48" s="118"/>
      <c r="W48" s="130">
        <v>4837</v>
      </c>
      <c r="X48" s="118"/>
      <c r="Y48" s="130"/>
      <c r="Z48" s="118"/>
      <c r="AA48" s="134"/>
      <c r="AB48" s="121"/>
      <c r="AC48" s="121"/>
      <c r="AD48" s="118"/>
      <c r="AE48" s="64"/>
      <c r="AF48" s="64"/>
    </row>
    <row r="49" spans="1:32" ht="14">
      <c r="A49" s="51"/>
      <c r="B49" s="65" t="s">
        <v>46</v>
      </c>
      <c r="C49" s="68">
        <v>0.47430555555555554</v>
      </c>
      <c r="D49" s="56">
        <v>36</v>
      </c>
      <c r="E49" s="56">
        <v>64.099999999999994</v>
      </c>
      <c r="F49" s="56">
        <v>889</v>
      </c>
      <c r="G49" s="56">
        <v>0</v>
      </c>
      <c r="H49" s="56">
        <v>192</v>
      </c>
      <c r="I49" s="56">
        <v>21</v>
      </c>
      <c r="J49" s="67">
        <v>325</v>
      </c>
      <c r="K49" s="132" t="s">
        <v>184</v>
      </c>
      <c r="L49" s="121"/>
      <c r="M49" s="121"/>
      <c r="N49" s="121"/>
      <c r="O49" s="53">
        <v>0</v>
      </c>
      <c r="P49" s="53" t="s">
        <v>72</v>
      </c>
      <c r="Q49" s="53" t="s">
        <v>72</v>
      </c>
      <c r="R49" s="53" t="s">
        <v>72</v>
      </c>
      <c r="S49" s="53" t="s">
        <v>72</v>
      </c>
      <c r="T49" s="53" t="s">
        <v>72</v>
      </c>
      <c r="U49" s="130">
        <v>4838</v>
      </c>
      <c r="V49" s="118"/>
      <c r="W49" s="130">
        <v>4839</v>
      </c>
      <c r="X49" s="118"/>
      <c r="Y49" s="130"/>
      <c r="Z49" s="118"/>
      <c r="AA49" s="134" t="s">
        <v>185</v>
      </c>
      <c r="AB49" s="121"/>
      <c r="AC49" s="121"/>
      <c r="AD49" s="118"/>
      <c r="AE49" s="64"/>
      <c r="AF49" s="64"/>
    </row>
    <row r="50" spans="1:32" ht="14">
      <c r="A50" s="51"/>
      <c r="B50" s="65" t="s">
        <v>42</v>
      </c>
      <c r="C50" s="68">
        <v>0.47847222222222224</v>
      </c>
      <c r="D50" s="56">
        <v>37.5</v>
      </c>
      <c r="E50" s="56">
        <v>58.2</v>
      </c>
      <c r="F50" s="56">
        <v>10070</v>
      </c>
      <c r="G50" s="53">
        <v>0</v>
      </c>
      <c r="H50" s="53">
        <v>174</v>
      </c>
      <c r="I50" s="53">
        <v>23</v>
      </c>
      <c r="J50" s="58">
        <v>288.7</v>
      </c>
      <c r="K50" s="134" t="s">
        <v>186</v>
      </c>
      <c r="L50" s="121"/>
      <c r="M50" s="121"/>
      <c r="N50" s="121"/>
      <c r="O50" s="53">
        <v>51</v>
      </c>
      <c r="P50" s="53">
        <v>21.07</v>
      </c>
      <c r="Q50" s="53">
        <v>9.48</v>
      </c>
      <c r="R50" s="53">
        <v>31.02</v>
      </c>
      <c r="S50" s="53">
        <v>19</v>
      </c>
      <c r="T50" s="53">
        <v>55.78</v>
      </c>
      <c r="U50" s="130">
        <v>4842</v>
      </c>
      <c r="V50" s="118"/>
      <c r="W50" s="130">
        <v>4844</v>
      </c>
      <c r="X50" s="118"/>
      <c r="Y50" s="130"/>
      <c r="Z50" s="118"/>
      <c r="AA50" s="134"/>
      <c r="AB50" s="121"/>
      <c r="AC50" s="121"/>
      <c r="AD50" s="118"/>
      <c r="AE50" s="64"/>
      <c r="AF50" s="64"/>
    </row>
    <row r="51" spans="1:32" ht="14">
      <c r="A51" s="51"/>
      <c r="B51" s="65" t="s">
        <v>44</v>
      </c>
      <c r="C51" s="68">
        <v>0.48541666666666666</v>
      </c>
      <c r="D51" s="53">
        <v>37.799999999999997</v>
      </c>
      <c r="E51" s="53">
        <v>61.8</v>
      </c>
      <c r="F51" s="53">
        <v>2340</v>
      </c>
      <c r="G51" s="53">
        <v>0</v>
      </c>
      <c r="H51" s="53">
        <v>78</v>
      </c>
      <c r="I51" s="53">
        <v>24</v>
      </c>
      <c r="J51" s="58">
        <v>240.4</v>
      </c>
      <c r="K51" s="134" t="s">
        <v>187</v>
      </c>
      <c r="L51" s="121"/>
      <c r="M51" s="121"/>
      <c r="N51" s="121"/>
      <c r="O51" s="53">
        <v>49.8</v>
      </c>
      <c r="P51" s="53">
        <v>4.8499999999999996</v>
      </c>
      <c r="Q51" s="53">
        <v>16.899999999999999</v>
      </c>
      <c r="R51" s="53">
        <v>14.15</v>
      </c>
      <c r="S51" s="53">
        <v>4.8899999999999997</v>
      </c>
      <c r="T51" s="53">
        <v>69.23</v>
      </c>
      <c r="U51" s="130">
        <v>4845</v>
      </c>
      <c r="V51" s="118"/>
      <c r="W51" s="130">
        <v>4847</v>
      </c>
      <c r="X51" s="118"/>
      <c r="Y51" s="130"/>
      <c r="Z51" s="118"/>
      <c r="AA51" s="134"/>
      <c r="AB51" s="121"/>
      <c r="AC51" s="121"/>
      <c r="AD51" s="118"/>
      <c r="AE51" s="64"/>
      <c r="AF51" s="64"/>
    </row>
    <row r="52" spans="1:32" ht="14">
      <c r="A52" s="51" t="s">
        <v>165</v>
      </c>
      <c r="B52" s="65" t="s">
        <v>33</v>
      </c>
      <c r="C52" s="66">
        <v>0.49166666666666664</v>
      </c>
      <c r="D52" s="53">
        <v>36.799999999999997</v>
      </c>
      <c r="E52" s="53">
        <v>58.7</v>
      </c>
      <c r="F52" s="53">
        <v>7880</v>
      </c>
      <c r="G52" s="53">
        <v>0</v>
      </c>
      <c r="H52" s="53">
        <v>299</v>
      </c>
      <c r="I52" s="53">
        <v>28</v>
      </c>
      <c r="J52" s="58">
        <v>292.60000000000002</v>
      </c>
      <c r="K52" s="134" t="s">
        <v>183</v>
      </c>
      <c r="L52" s="121"/>
      <c r="M52" s="121"/>
      <c r="N52" s="121"/>
      <c r="O52" s="53">
        <v>32.200000000000003</v>
      </c>
      <c r="P52" s="53">
        <v>17.13</v>
      </c>
      <c r="Q52" s="53">
        <v>29.32</v>
      </c>
      <c r="R52" s="53">
        <v>81.81</v>
      </c>
      <c r="S52" s="53">
        <v>22.97</v>
      </c>
      <c r="T52" s="53">
        <v>18.170000000000002</v>
      </c>
      <c r="U52" s="130">
        <v>4848</v>
      </c>
      <c r="V52" s="118"/>
      <c r="W52" s="130">
        <v>4849</v>
      </c>
      <c r="X52" s="118"/>
      <c r="Y52" s="130"/>
      <c r="Z52" s="118"/>
      <c r="AA52" s="134"/>
      <c r="AB52" s="121"/>
      <c r="AC52" s="121"/>
      <c r="AD52" s="118"/>
      <c r="AE52" s="64"/>
      <c r="AF52" s="64"/>
    </row>
    <row r="53" spans="1:32" ht="14">
      <c r="A53" s="65" t="s">
        <v>188</v>
      </c>
      <c r="B53" s="65" t="s">
        <v>42</v>
      </c>
      <c r="C53" s="66">
        <v>0.1736111111111111</v>
      </c>
      <c r="D53" s="53">
        <v>25.3</v>
      </c>
      <c r="E53" s="53">
        <v>79.8</v>
      </c>
      <c r="F53" s="53">
        <v>0</v>
      </c>
      <c r="G53" s="53">
        <v>0</v>
      </c>
      <c r="H53" s="53">
        <v>222</v>
      </c>
      <c r="I53" s="53">
        <v>23</v>
      </c>
      <c r="J53" s="53">
        <v>126.8</v>
      </c>
      <c r="K53" s="134" t="s">
        <v>149</v>
      </c>
      <c r="L53" s="121"/>
      <c r="M53" s="121"/>
      <c r="N53" s="121"/>
      <c r="O53" s="53">
        <v>60.6</v>
      </c>
      <c r="P53" s="53">
        <v>20.28</v>
      </c>
      <c r="Q53" s="53">
        <v>78.319999999999993</v>
      </c>
      <c r="R53" s="53">
        <v>48.65</v>
      </c>
      <c r="S53" s="53">
        <v>177.35</v>
      </c>
      <c r="T53" s="53">
        <v>118.68</v>
      </c>
      <c r="U53" s="130">
        <v>4860</v>
      </c>
      <c r="V53" s="118"/>
      <c r="W53" s="130"/>
      <c r="X53" s="118"/>
      <c r="Y53" s="130"/>
      <c r="Z53" s="118"/>
      <c r="AA53" s="134" t="s">
        <v>189</v>
      </c>
      <c r="AB53" s="121"/>
      <c r="AC53" s="121"/>
      <c r="AD53" s="118"/>
      <c r="AE53" s="64"/>
      <c r="AF53" s="64"/>
    </row>
    <row r="54" spans="1:32" ht="14">
      <c r="A54" s="51"/>
      <c r="B54" s="65" t="s">
        <v>33</v>
      </c>
      <c r="C54" s="66">
        <v>0.18194444444444444</v>
      </c>
      <c r="D54" s="53">
        <v>25.3</v>
      </c>
      <c r="E54" s="53">
        <v>80.400000000000006</v>
      </c>
      <c r="F54" s="53">
        <v>0</v>
      </c>
      <c r="G54" s="53">
        <v>0</v>
      </c>
      <c r="H54" s="53">
        <v>104</v>
      </c>
      <c r="I54" s="53">
        <v>23</v>
      </c>
      <c r="J54" s="53">
        <v>25.6</v>
      </c>
      <c r="K54" s="134" t="s">
        <v>149</v>
      </c>
      <c r="L54" s="121"/>
      <c r="M54" s="121"/>
      <c r="N54" s="121"/>
      <c r="O54" s="53">
        <v>78.900000000000006</v>
      </c>
      <c r="P54" s="53">
        <v>23.7</v>
      </c>
      <c r="Q54" s="53">
        <v>91.69</v>
      </c>
      <c r="R54" s="53">
        <v>564</v>
      </c>
      <c r="S54" s="53" t="s">
        <v>155</v>
      </c>
      <c r="T54" s="53" t="s">
        <v>155</v>
      </c>
      <c r="U54" s="130">
        <v>4861</v>
      </c>
      <c r="V54" s="118"/>
      <c r="W54" s="130"/>
      <c r="X54" s="118"/>
      <c r="Y54" s="130"/>
      <c r="Z54" s="118"/>
      <c r="AA54" s="134" t="s">
        <v>190</v>
      </c>
      <c r="AB54" s="121"/>
      <c r="AC54" s="121"/>
      <c r="AD54" s="118"/>
      <c r="AE54" s="64"/>
      <c r="AF54" s="64"/>
    </row>
    <row r="55" spans="1:32" ht="14">
      <c r="A55" s="51" t="s">
        <v>165</v>
      </c>
      <c r="B55" s="65" t="s">
        <v>44</v>
      </c>
      <c r="C55" s="66">
        <v>0.18680555555555556</v>
      </c>
      <c r="D55" s="53">
        <v>25.5</v>
      </c>
      <c r="E55" s="53">
        <v>79.3</v>
      </c>
      <c r="F55" s="53">
        <v>0</v>
      </c>
      <c r="G55" s="53">
        <v>0</v>
      </c>
      <c r="H55" s="53">
        <v>108</v>
      </c>
      <c r="I55" s="53">
        <v>24</v>
      </c>
      <c r="J55" s="58">
        <v>145.19999999999999</v>
      </c>
      <c r="K55" s="134" t="s">
        <v>149</v>
      </c>
      <c r="L55" s="121"/>
      <c r="M55" s="121"/>
      <c r="N55" s="121"/>
      <c r="O55" s="53">
        <v>91.4</v>
      </c>
      <c r="P55" s="53">
        <v>14.27</v>
      </c>
      <c r="Q55" s="53">
        <v>825</v>
      </c>
      <c r="R55" s="53">
        <v>147.85</v>
      </c>
      <c r="S55" s="53">
        <v>66.3</v>
      </c>
      <c r="T55" s="53">
        <v>145.76</v>
      </c>
      <c r="U55" s="130">
        <v>4863</v>
      </c>
      <c r="V55" s="118"/>
      <c r="W55" s="130"/>
      <c r="X55" s="118"/>
      <c r="Y55" s="130"/>
      <c r="Z55" s="118"/>
      <c r="AA55" s="134"/>
      <c r="AB55" s="121"/>
      <c r="AC55" s="121"/>
      <c r="AD55" s="118"/>
      <c r="AE55" s="64"/>
      <c r="AF55" s="64"/>
    </row>
    <row r="56" spans="1:32" ht="14">
      <c r="A56" s="51"/>
      <c r="B56" s="65" t="s">
        <v>39</v>
      </c>
      <c r="C56" s="66">
        <v>0.19375000000000001</v>
      </c>
      <c r="D56" s="53">
        <v>25.5</v>
      </c>
      <c r="E56" s="53">
        <v>79.3</v>
      </c>
      <c r="F56" s="53">
        <v>0</v>
      </c>
      <c r="G56" s="53">
        <v>0</v>
      </c>
      <c r="H56" s="53">
        <v>197</v>
      </c>
      <c r="I56" s="53">
        <v>25</v>
      </c>
      <c r="J56" s="58">
        <v>321.10000000000002</v>
      </c>
      <c r="K56" s="134" t="s">
        <v>149</v>
      </c>
      <c r="L56" s="121"/>
      <c r="M56" s="121"/>
      <c r="N56" s="121"/>
      <c r="O56" s="53">
        <v>91</v>
      </c>
      <c r="P56" s="53">
        <v>13.5</v>
      </c>
      <c r="Q56" s="53">
        <v>98.23</v>
      </c>
      <c r="R56" s="53">
        <v>61.62</v>
      </c>
      <c r="S56" s="53">
        <v>5.74</v>
      </c>
      <c r="T56" s="53">
        <v>222</v>
      </c>
      <c r="U56" s="130">
        <v>4864</v>
      </c>
      <c r="V56" s="118"/>
      <c r="W56" s="130"/>
      <c r="X56" s="118"/>
      <c r="Y56" s="130"/>
      <c r="Z56" s="118"/>
      <c r="AA56" s="136" t="s">
        <v>191</v>
      </c>
      <c r="AB56" s="121"/>
      <c r="AC56" s="121"/>
      <c r="AD56" s="118"/>
      <c r="AE56" s="34"/>
      <c r="AF56" s="34"/>
    </row>
    <row r="57" spans="1:32" ht="15.5">
      <c r="A57" s="51"/>
      <c r="B57" s="65" t="s">
        <v>46</v>
      </c>
      <c r="C57" s="66">
        <v>0.1986111111111111</v>
      </c>
      <c r="D57" s="53">
        <v>25.6</v>
      </c>
      <c r="E57" s="53">
        <v>78.7</v>
      </c>
      <c r="F57" s="53">
        <v>0</v>
      </c>
      <c r="G57" s="53">
        <v>0</v>
      </c>
      <c r="H57" s="53">
        <v>162</v>
      </c>
      <c r="I57" s="53">
        <v>21</v>
      </c>
      <c r="J57" s="58">
        <v>397.5</v>
      </c>
      <c r="K57" s="134" t="s">
        <v>149</v>
      </c>
      <c r="L57" s="121"/>
      <c r="M57" s="121"/>
      <c r="N57" s="121"/>
      <c r="O57" s="53">
        <v>107.9</v>
      </c>
      <c r="P57" s="53">
        <v>23.48</v>
      </c>
      <c r="Q57" s="53">
        <v>156.08000000000001</v>
      </c>
      <c r="R57" s="53">
        <v>7.1</v>
      </c>
      <c r="S57" s="53">
        <v>0</v>
      </c>
      <c r="T57" s="53">
        <v>459</v>
      </c>
      <c r="U57" s="130">
        <v>4865</v>
      </c>
      <c r="V57" s="118"/>
      <c r="W57" s="130"/>
      <c r="X57" s="118"/>
      <c r="Y57" s="130"/>
      <c r="Z57" s="118"/>
      <c r="AA57" s="134" t="s">
        <v>192</v>
      </c>
      <c r="AB57" s="121"/>
      <c r="AC57" s="121"/>
      <c r="AD57" s="118"/>
      <c r="AE57" s="69"/>
      <c r="AF57" s="69"/>
    </row>
    <row r="58" spans="1:32" ht="14">
      <c r="A58" s="65" t="s">
        <v>193</v>
      </c>
      <c r="B58" s="65" t="s">
        <v>46</v>
      </c>
      <c r="C58" s="52">
        <v>0.25208333333333333</v>
      </c>
      <c r="D58" s="53">
        <v>27</v>
      </c>
      <c r="E58" s="53">
        <v>76.7</v>
      </c>
      <c r="F58" s="53">
        <v>503</v>
      </c>
      <c r="G58" s="53">
        <v>0</v>
      </c>
      <c r="H58" s="53">
        <v>162</v>
      </c>
      <c r="I58" s="53">
        <v>21</v>
      </c>
      <c r="J58" s="53">
        <v>397.5</v>
      </c>
      <c r="K58" s="134" t="s">
        <v>152</v>
      </c>
      <c r="L58" s="121"/>
      <c r="M58" s="121"/>
      <c r="N58" s="121"/>
      <c r="O58" s="53">
        <v>107.9</v>
      </c>
      <c r="P58" s="53">
        <v>23.48</v>
      </c>
      <c r="Q58" s="53">
        <v>156.08000000000001</v>
      </c>
      <c r="R58" s="53">
        <v>7.1</v>
      </c>
      <c r="S58" s="53">
        <v>0</v>
      </c>
      <c r="T58" s="53">
        <v>459</v>
      </c>
      <c r="U58" s="130">
        <v>4867</v>
      </c>
      <c r="V58" s="118"/>
      <c r="W58" s="130">
        <v>4868</v>
      </c>
      <c r="X58" s="118"/>
      <c r="Y58" s="130" t="s">
        <v>194</v>
      </c>
      <c r="Z58" s="118"/>
      <c r="AA58" s="134" t="s">
        <v>195</v>
      </c>
      <c r="AB58" s="121"/>
      <c r="AC58" s="121"/>
      <c r="AD58" s="118"/>
      <c r="AE58" s="63"/>
      <c r="AF58" s="63"/>
    </row>
    <row r="59" spans="1:32" ht="14">
      <c r="A59" s="51"/>
      <c r="B59" s="65" t="s">
        <v>39</v>
      </c>
      <c r="C59" s="52">
        <v>0.25694444444444442</v>
      </c>
      <c r="D59" s="53">
        <v>27.2</v>
      </c>
      <c r="E59" s="53">
        <v>78</v>
      </c>
      <c r="F59" s="53">
        <v>1124</v>
      </c>
      <c r="G59" s="53">
        <v>0</v>
      </c>
      <c r="H59" s="53">
        <v>197</v>
      </c>
      <c r="I59" s="53">
        <v>25</v>
      </c>
      <c r="J59" s="53">
        <v>321.10000000000002</v>
      </c>
      <c r="K59" s="134" t="s">
        <v>196</v>
      </c>
      <c r="L59" s="121"/>
      <c r="M59" s="121"/>
      <c r="N59" s="121"/>
      <c r="O59" s="53">
        <v>9.08</v>
      </c>
      <c r="P59" s="53">
        <v>13.5</v>
      </c>
      <c r="Q59" s="53">
        <v>98.23</v>
      </c>
      <c r="R59" s="53">
        <v>61.62</v>
      </c>
      <c r="S59" s="53">
        <v>5.74</v>
      </c>
      <c r="T59" s="53">
        <v>222</v>
      </c>
      <c r="U59" s="130">
        <v>4869</v>
      </c>
      <c r="V59" s="118"/>
      <c r="W59" s="130" t="s">
        <v>197</v>
      </c>
      <c r="X59" s="118"/>
      <c r="Y59" s="130"/>
      <c r="Z59" s="118"/>
      <c r="AA59" s="125" t="s">
        <v>198</v>
      </c>
      <c r="AB59" s="121"/>
      <c r="AC59" s="121"/>
      <c r="AD59" s="118"/>
      <c r="AE59" s="63"/>
      <c r="AF59" s="63"/>
    </row>
    <row r="60" spans="1:32" ht="14">
      <c r="A60" s="51"/>
      <c r="B60" s="65" t="s">
        <v>44</v>
      </c>
      <c r="C60" s="52">
        <v>0.25972222222222224</v>
      </c>
      <c r="D60" s="53">
        <v>26.8</v>
      </c>
      <c r="E60" s="53">
        <v>79.2</v>
      </c>
      <c r="F60" s="53">
        <v>3500</v>
      </c>
      <c r="G60" s="53">
        <v>0</v>
      </c>
      <c r="H60" s="53">
        <v>108</v>
      </c>
      <c r="I60" s="53">
        <v>24</v>
      </c>
      <c r="J60" s="53">
        <v>145.19999999999999</v>
      </c>
      <c r="K60" s="134" t="s">
        <v>187</v>
      </c>
      <c r="L60" s="121"/>
      <c r="M60" s="121"/>
      <c r="N60" s="121"/>
      <c r="O60" s="53">
        <v>91.4</v>
      </c>
      <c r="P60" s="53">
        <v>14.27</v>
      </c>
      <c r="Q60" s="53">
        <v>825</v>
      </c>
      <c r="R60" s="53">
        <v>147.85</v>
      </c>
      <c r="S60" s="53">
        <v>66.3</v>
      </c>
      <c r="T60" s="53">
        <v>145.76</v>
      </c>
      <c r="U60" s="130">
        <v>4870</v>
      </c>
      <c r="V60" s="118"/>
      <c r="W60" s="130">
        <v>4871</v>
      </c>
      <c r="X60" s="118"/>
      <c r="Y60" s="130"/>
      <c r="Z60" s="118"/>
      <c r="AA60" s="125" t="s">
        <v>195</v>
      </c>
      <c r="AB60" s="121"/>
      <c r="AC60" s="121"/>
      <c r="AD60" s="118"/>
      <c r="AE60" s="63"/>
      <c r="AF60" s="63"/>
    </row>
    <row r="61" spans="1:32" ht="14">
      <c r="A61" s="51"/>
      <c r="B61" s="65" t="s">
        <v>33</v>
      </c>
      <c r="C61" s="35" t="s">
        <v>199</v>
      </c>
      <c r="D61" s="53">
        <v>27.2</v>
      </c>
      <c r="E61" s="53">
        <v>74.599999999999994</v>
      </c>
      <c r="F61" s="53">
        <v>1037</v>
      </c>
      <c r="G61" s="53">
        <v>0</v>
      </c>
      <c r="H61" s="53">
        <v>78</v>
      </c>
      <c r="I61" s="53">
        <v>23</v>
      </c>
      <c r="J61" s="53">
        <v>11</v>
      </c>
      <c r="K61" s="134" t="s">
        <v>152</v>
      </c>
      <c r="L61" s="121"/>
      <c r="M61" s="121"/>
      <c r="N61" s="121"/>
      <c r="O61" s="53">
        <v>62.7</v>
      </c>
      <c r="P61" s="53">
        <v>36.78</v>
      </c>
      <c r="Q61" s="53">
        <v>8.34</v>
      </c>
      <c r="R61" s="53">
        <v>13.84</v>
      </c>
      <c r="S61" s="53">
        <v>51.78</v>
      </c>
      <c r="T61" s="53">
        <v>41.88</v>
      </c>
      <c r="U61" s="130">
        <v>4872</v>
      </c>
      <c r="V61" s="118"/>
      <c r="W61" s="130">
        <v>4873</v>
      </c>
      <c r="X61" s="118"/>
      <c r="Y61" s="130"/>
      <c r="Z61" s="118"/>
      <c r="AA61" s="125" t="s">
        <v>200</v>
      </c>
      <c r="AB61" s="121"/>
      <c r="AC61" s="121"/>
      <c r="AD61" s="118"/>
      <c r="AE61" s="63"/>
      <c r="AF61" s="63"/>
    </row>
    <row r="62" spans="1:32" ht="14">
      <c r="A62" s="51"/>
      <c r="B62" s="65" t="s">
        <v>42</v>
      </c>
      <c r="C62" s="52">
        <v>0.26874999999999999</v>
      </c>
      <c r="D62" s="53">
        <v>26.2</v>
      </c>
      <c r="E62" s="53">
        <v>79.7</v>
      </c>
      <c r="F62" s="53">
        <v>4800</v>
      </c>
      <c r="G62" s="53">
        <v>0</v>
      </c>
      <c r="H62" s="53">
        <v>215</v>
      </c>
      <c r="I62" s="53">
        <v>23</v>
      </c>
      <c r="J62" s="53">
        <v>134.5</v>
      </c>
      <c r="K62" s="134" t="s">
        <v>187</v>
      </c>
      <c r="L62" s="121"/>
      <c r="M62" s="121"/>
      <c r="N62" s="121"/>
      <c r="O62" s="53">
        <v>50.3</v>
      </c>
      <c r="P62" s="53">
        <v>15.23</v>
      </c>
      <c r="Q62" s="53">
        <v>43.67</v>
      </c>
      <c r="R62" s="53">
        <v>0</v>
      </c>
      <c r="S62" s="53">
        <v>35.69</v>
      </c>
      <c r="T62" s="53">
        <v>120.29</v>
      </c>
      <c r="U62" s="130">
        <v>4874</v>
      </c>
      <c r="V62" s="118"/>
      <c r="W62" s="130">
        <v>4875</v>
      </c>
      <c r="X62" s="118"/>
      <c r="Y62" s="130"/>
      <c r="Z62" s="118"/>
      <c r="AA62" s="125" t="s">
        <v>201</v>
      </c>
      <c r="AB62" s="121"/>
      <c r="AC62" s="121"/>
      <c r="AD62" s="118"/>
      <c r="AE62" s="63"/>
      <c r="AF62" s="63"/>
    </row>
    <row r="63" spans="1:32" ht="14">
      <c r="A63" s="65" t="s">
        <v>202</v>
      </c>
      <c r="B63" s="65" t="s">
        <v>39</v>
      </c>
      <c r="C63" s="52">
        <v>0.41736111111111113</v>
      </c>
      <c r="D63" s="53">
        <v>32.9</v>
      </c>
      <c r="E63" s="53">
        <v>71.099999999999994</v>
      </c>
      <c r="F63" s="53">
        <v>1764</v>
      </c>
      <c r="G63" s="53">
        <v>0</v>
      </c>
      <c r="H63" s="53">
        <v>206</v>
      </c>
      <c r="I63" s="53">
        <v>25</v>
      </c>
      <c r="J63" s="53">
        <v>449.3</v>
      </c>
      <c r="K63" s="134" t="s">
        <v>203</v>
      </c>
      <c r="L63" s="121"/>
      <c r="M63" s="121"/>
      <c r="N63" s="121"/>
      <c r="O63" s="53">
        <v>93.4</v>
      </c>
      <c r="P63" s="53">
        <v>18</v>
      </c>
      <c r="Q63" s="53">
        <v>111.58</v>
      </c>
      <c r="R63" s="53">
        <v>5.07</v>
      </c>
      <c r="S63" s="53">
        <v>25.05</v>
      </c>
      <c r="T63" s="53">
        <v>153.07</v>
      </c>
      <c r="U63" s="130">
        <v>4878</v>
      </c>
      <c r="V63" s="118"/>
      <c r="W63" s="130">
        <v>4879</v>
      </c>
      <c r="X63" s="118"/>
      <c r="Y63" s="130"/>
      <c r="Z63" s="118"/>
      <c r="AA63" s="134" t="s">
        <v>204</v>
      </c>
      <c r="AB63" s="121"/>
      <c r="AC63" s="121"/>
      <c r="AD63" s="118"/>
      <c r="AE63" s="63"/>
      <c r="AF63" s="63"/>
    </row>
    <row r="64" spans="1:32" ht="14">
      <c r="A64" s="51"/>
      <c r="B64" s="65" t="s">
        <v>46</v>
      </c>
      <c r="C64" s="52">
        <v>0.44097222222222221</v>
      </c>
      <c r="D64" s="53">
        <v>36.1</v>
      </c>
      <c r="E64" s="53">
        <v>63.7</v>
      </c>
      <c r="F64" s="53">
        <v>4090</v>
      </c>
      <c r="G64" s="53">
        <v>0</v>
      </c>
      <c r="H64" s="53">
        <v>304</v>
      </c>
      <c r="I64" s="53">
        <v>21</v>
      </c>
      <c r="J64" s="53">
        <v>222.5</v>
      </c>
      <c r="K64" s="134" t="s">
        <v>205</v>
      </c>
      <c r="L64" s="121"/>
      <c r="M64" s="121"/>
      <c r="N64" s="121"/>
      <c r="O64" s="53">
        <v>10.7</v>
      </c>
      <c r="P64" s="53">
        <v>20.170000000000002</v>
      </c>
      <c r="Q64" s="53">
        <v>25.27</v>
      </c>
      <c r="R64" s="53">
        <v>5.93</v>
      </c>
      <c r="S64" s="53">
        <v>9.64</v>
      </c>
      <c r="T64" s="53">
        <v>54.93</v>
      </c>
      <c r="U64" s="130">
        <v>4882</v>
      </c>
      <c r="V64" s="118"/>
      <c r="W64" s="130">
        <v>4883</v>
      </c>
      <c r="X64" s="118"/>
      <c r="Y64" s="130"/>
      <c r="Z64" s="118"/>
      <c r="AA64" s="134" t="s">
        <v>206</v>
      </c>
      <c r="AB64" s="121"/>
      <c r="AC64" s="121"/>
      <c r="AD64" s="118"/>
      <c r="AE64" s="63"/>
      <c r="AF64" s="63"/>
    </row>
    <row r="65" spans="1:32" ht="14">
      <c r="A65" s="51"/>
      <c r="B65" s="65" t="s">
        <v>44</v>
      </c>
      <c r="C65" s="52">
        <v>0.44722222222222224</v>
      </c>
      <c r="D65" s="53">
        <v>36.799999999999997</v>
      </c>
      <c r="E65" s="53">
        <v>62</v>
      </c>
      <c r="F65" s="53">
        <v>4550</v>
      </c>
      <c r="G65" s="53">
        <v>0</v>
      </c>
      <c r="H65" s="53">
        <v>102</v>
      </c>
      <c r="I65" s="53">
        <v>24</v>
      </c>
      <c r="J65" s="53">
        <v>307</v>
      </c>
      <c r="K65" s="134"/>
      <c r="L65" s="121"/>
      <c r="M65" s="121"/>
      <c r="N65" s="121"/>
      <c r="O65" s="53">
        <v>49.2</v>
      </c>
      <c r="P65" s="53">
        <v>15.81</v>
      </c>
      <c r="Q65" s="53">
        <v>37.869999999999997</v>
      </c>
      <c r="R65" s="53">
        <v>22.17</v>
      </c>
      <c r="S65" s="53">
        <v>118.17</v>
      </c>
      <c r="T65" s="53">
        <v>58.1</v>
      </c>
      <c r="U65" s="130">
        <v>4885</v>
      </c>
      <c r="V65" s="118"/>
      <c r="W65" s="130">
        <v>4886</v>
      </c>
      <c r="X65" s="118"/>
      <c r="Y65" s="130"/>
      <c r="Z65" s="118"/>
      <c r="AA65" s="134"/>
      <c r="AB65" s="121"/>
      <c r="AC65" s="121"/>
      <c r="AD65" s="118"/>
      <c r="AE65" s="64"/>
      <c r="AF65" s="64"/>
    </row>
    <row r="66" spans="1:32" ht="14">
      <c r="A66" s="51"/>
      <c r="B66" s="65" t="s">
        <v>33</v>
      </c>
      <c r="C66" s="52">
        <v>0.45347222222222222</v>
      </c>
      <c r="D66" s="53">
        <v>35.9</v>
      </c>
      <c r="E66" s="53">
        <v>59.2</v>
      </c>
      <c r="F66" s="53" t="s">
        <v>132</v>
      </c>
      <c r="G66" s="53">
        <v>0</v>
      </c>
      <c r="H66" s="53">
        <v>134</v>
      </c>
      <c r="I66" s="53">
        <v>23</v>
      </c>
      <c r="J66" s="53">
        <v>258</v>
      </c>
      <c r="K66" s="134" t="s">
        <v>207</v>
      </c>
      <c r="L66" s="121"/>
      <c r="M66" s="121"/>
      <c r="N66" s="121"/>
      <c r="O66" s="53">
        <v>34</v>
      </c>
      <c r="P66" s="53">
        <v>30.35</v>
      </c>
      <c r="Q66" s="53">
        <v>25.31</v>
      </c>
      <c r="R66" s="53">
        <v>46.84</v>
      </c>
      <c r="S66" s="53">
        <v>19.89</v>
      </c>
      <c r="T66" s="28">
        <v>88.68</v>
      </c>
      <c r="U66" s="130">
        <v>4887</v>
      </c>
      <c r="V66" s="118"/>
      <c r="W66" s="130">
        <v>4888</v>
      </c>
      <c r="X66" s="118"/>
      <c r="Y66" s="130"/>
      <c r="Z66" s="118"/>
      <c r="AA66" s="134"/>
      <c r="AB66" s="121"/>
      <c r="AC66" s="121"/>
      <c r="AD66" s="118"/>
      <c r="AE66" s="64"/>
      <c r="AF66" s="64"/>
    </row>
    <row r="67" spans="1:32" ht="14">
      <c r="A67" s="51"/>
      <c r="B67" s="65" t="s">
        <v>42</v>
      </c>
      <c r="C67" s="52">
        <v>0.4597222222222222</v>
      </c>
      <c r="D67" s="53">
        <v>34.799999999999997</v>
      </c>
      <c r="E67" s="53">
        <v>59.3</v>
      </c>
      <c r="F67" s="53">
        <v>6060</v>
      </c>
      <c r="G67" s="53">
        <v>0</v>
      </c>
      <c r="H67" s="53">
        <v>264</v>
      </c>
      <c r="I67" s="53">
        <v>22</v>
      </c>
      <c r="J67" s="53">
        <v>29.5</v>
      </c>
      <c r="K67" s="134" t="s">
        <v>207</v>
      </c>
      <c r="L67" s="121"/>
      <c r="M67" s="121"/>
      <c r="N67" s="121"/>
      <c r="O67" s="53">
        <v>21.7</v>
      </c>
      <c r="P67" s="53">
        <v>34.340000000000003</v>
      </c>
      <c r="Q67" s="53">
        <v>38.29</v>
      </c>
      <c r="R67" s="53">
        <v>22.92</v>
      </c>
      <c r="S67" s="53">
        <v>263</v>
      </c>
      <c r="T67" s="28">
        <v>67.02</v>
      </c>
      <c r="U67" s="130">
        <v>4891</v>
      </c>
      <c r="V67" s="118"/>
      <c r="W67" s="130">
        <v>4892</v>
      </c>
      <c r="X67" s="118"/>
      <c r="Y67" s="130"/>
      <c r="Z67" s="118"/>
      <c r="AA67" s="134" t="s">
        <v>208</v>
      </c>
      <c r="AB67" s="121"/>
      <c r="AC67" s="121"/>
      <c r="AD67" s="118"/>
      <c r="AE67" s="64"/>
      <c r="AF67" s="64"/>
    </row>
    <row r="68" spans="1:32" ht="14">
      <c r="A68" s="65" t="s">
        <v>209</v>
      </c>
      <c r="B68" s="65" t="s">
        <v>33</v>
      </c>
      <c r="C68" s="52">
        <v>0.69861111111111107</v>
      </c>
      <c r="D68" s="53">
        <v>31.8</v>
      </c>
      <c r="E68" s="53">
        <v>69.5</v>
      </c>
      <c r="F68" s="53">
        <v>2940</v>
      </c>
      <c r="G68" s="53">
        <v>0</v>
      </c>
      <c r="H68" s="53">
        <v>104</v>
      </c>
      <c r="I68" s="53">
        <v>23</v>
      </c>
      <c r="J68" s="53">
        <v>25.6</v>
      </c>
      <c r="K68" s="134" t="s">
        <v>207</v>
      </c>
      <c r="L68" s="121"/>
      <c r="M68" s="121"/>
      <c r="N68" s="121"/>
      <c r="O68" s="53">
        <v>78.900000000000006</v>
      </c>
      <c r="P68" s="53">
        <v>23.7</v>
      </c>
      <c r="Q68" s="53">
        <v>91.69</v>
      </c>
      <c r="R68" s="53">
        <v>564</v>
      </c>
      <c r="S68" s="53" t="s">
        <v>155</v>
      </c>
      <c r="T68" s="53" t="s">
        <v>155</v>
      </c>
      <c r="U68" s="130">
        <v>4894</v>
      </c>
      <c r="V68" s="118"/>
      <c r="W68" s="130">
        <v>4895</v>
      </c>
      <c r="X68" s="118"/>
      <c r="Y68" s="130"/>
      <c r="Z68" s="118"/>
      <c r="AA68" s="125" t="s">
        <v>210</v>
      </c>
      <c r="AB68" s="121"/>
      <c r="AC68" s="121"/>
      <c r="AD68" s="118"/>
      <c r="AE68" s="64"/>
      <c r="AF68" s="64"/>
    </row>
    <row r="69" spans="1:32" ht="14">
      <c r="A69" s="51"/>
      <c r="B69" s="65" t="s">
        <v>42</v>
      </c>
      <c r="C69" s="59">
        <v>0.70486111111111116</v>
      </c>
      <c r="D69" s="53">
        <v>31.5</v>
      </c>
      <c r="E69" s="53">
        <v>73.599999999999994</v>
      </c>
      <c r="F69" s="53">
        <v>3800</v>
      </c>
      <c r="G69" s="53">
        <v>0</v>
      </c>
      <c r="H69" s="53">
        <v>207</v>
      </c>
      <c r="I69" s="53">
        <v>23</v>
      </c>
      <c r="J69" s="58">
        <v>112.5</v>
      </c>
      <c r="K69" s="134" t="s">
        <v>207</v>
      </c>
      <c r="L69" s="121"/>
      <c r="M69" s="121"/>
      <c r="N69" s="121"/>
      <c r="O69" s="53">
        <v>89.4</v>
      </c>
      <c r="P69" s="53">
        <v>18.420000000000002</v>
      </c>
      <c r="Q69" s="53">
        <v>88.25</v>
      </c>
      <c r="R69" s="53">
        <v>138.21</v>
      </c>
      <c r="S69" s="53">
        <v>34.29</v>
      </c>
      <c r="T69" s="53">
        <v>107.31</v>
      </c>
      <c r="U69" s="130">
        <v>4896</v>
      </c>
      <c r="V69" s="118"/>
      <c r="W69" s="130">
        <v>4897</v>
      </c>
      <c r="X69" s="118"/>
      <c r="Y69" s="130"/>
      <c r="Z69" s="118"/>
      <c r="AA69" s="134"/>
      <c r="AB69" s="121"/>
      <c r="AC69" s="121"/>
      <c r="AD69" s="118"/>
      <c r="AE69" s="64"/>
      <c r="AF69" s="64"/>
    </row>
    <row r="70" spans="1:32" ht="14">
      <c r="A70" s="51"/>
      <c r="B70" s="65" t="s">
        <v>44</v>
      </c>
      <c r="C70" s="59">
        <v>0.70972222222222225</v>
      </c>
      <c r="D70" s="53">
        <v>31.6</v>
      </c>
      <c r="E70" s="53">
        <v>75</v>
      </c>
      <c r="F70" s="53">
        <v>405</v>
      </c>
      <c r="G70" s="53">
        <v>0</v>
      </c>
      <c r="H70" s="53">
        <v>42</v>
      </c>
      <c r="I70" s="53">
        <v>24</v>
      </c>
      <c r="J70" s="58">
        <v>158.69999999999999</v>
      </c>
      <c r="K70" s="134" t="s">
        <v>207</v>
      </c>
      <c r="L70" s="121"/>
      <c r="M70" s="121"/>
      <c r="N70" s="121"/>
      <c r="O70" s="53">
        <v>33.799999999999997</v>
      </c>
      <c r="P70" s="53">
        <v>27.66</v>
      </c>
      <c r="Q70" s="53">
        <v>29.1</v>
      </c>
      <c r="R70" s="53">
        <v>64.86</v>
      </c>
      <c r="S70" s="53">
        <v>35.69</v>
      </c>
      <c r="T70" s="53">
        <v>47.57</v>
      </c>
      <c r="U70" s="130">
        <v>4898</v>
      </c>
      <c r="V70" s="118"/>
      <c r="W70" s="130">
        <v>4899</v>
      </c>
      <c r="X70" s="118"/>
      <c r="Y70" s="130"/>
      <c r="Z70" s="118"/>
      <c r="AA70" s="134"/>
      <c r="AB70" s="121"/>
      <c r="AC70" s="121"/>
      <c r="AD70" s="118"/>
      <c r="AE70" s="34"/>
      <c r="AF70" s="34"/>
    </row>
    <row r="71" spans="1:32" ht="14">
      <c r="A71" s="51"/>
      <c r="B71" s="65" t="s">
        <v>39</v>
      </c>
      <c r="C71" s="59">
        <v>0.71458333333333335</v>
      </c>
      <c r="D71" s="53">
        <v>31.6</v>
      </c>
      <c r="E71" s="53">
        <v>75</v>
      </c>
      <c r="F71" s="53">
        <v>395</v>
      </c>
      <c r="G71" s="53">
        <v>0</v>
      </c>
      <c r="H71" s="53">
        <v>188</v>
      </c>
      <c r="I71" s="53">
        <v>25</v>
      </c>
      <c r="J71" s="58">
        <v>548.5</v>
      </c>
      <c r="K71" s="134" t="s">
        <v>207</v>
      </c>
      <c r="L71" s="121"/>
      <c r="M71" s="121"/>
      <c r="N71" s="121"/>
      <c r="O71" s="53">
        <v>17.350000000000001</v>
      </c>
      <c r="P71" s="53">
        <v>31.86</v>
      </c>
      <c r="Q71" s="53">
        <v>36.6</v>
      </c>
      <c r="R71" s="53">
        <v>37.03</v>
      </c>
      <c r="S71" s="53">
        <v>52.03</v>
      </c>
      <c r="T71" s="53">
        <v>147.85</v>
      </c>
      <c r="U71" s="130">
        <v>4900</v>
      </c>
      <c r="V71" s="118"/>
      <c r="W71" s="130">
        <v>4901</v>
      </c>
      <c r="X71" s="118"/>
      <c r="Y71" s="130"/>
      <c r="Z71" s="118"/>
      <c r="AA71" s="136" t="s">
        <v>211</v>
      </c>
      <c r="AB71" s="121"/>
      <c r="AC71" s="121"/>
      <c r="AD71" s="118"/>
      <c r="AE71" s="34"/>
      <c r="AF71" s="34"/>
    </row>
    <row r="72" spans="1:32" ht="14">
      <c r="A72" s="51"/>
      <c r="B72" s="65" t="s">
        <v>46</v>
      </c>
      <c r="C72" s="59">
        <v>0.72083333333333333</v>
      </c>
      <c r="D72" s="53">
        <v>31.8</v>
      </c>
      <c r="E72" s="53">
        <v>76.8</v>
      </c>
      <c r="F72" s="53">
        <v>1056</v>
      </c>
      <c r="G72" s="53">
        <v>0</v>
      </c>
      <c r="H72" s="53">
        <v>158</v>
      </c>
      <c r="I72" s="53">
        <v>21</v>
      </c>
      <c r="J72" s="58">
        <v>317.7</v>
      </c>
      <c r="K72" s="134" t="s">
        <v>187</v>
      </c>
      <c r="L72" s="121"/>
      <c r="M72" s="121"/>
      <c r="N72" s="121"/>
      <c r="O72" s="53">
        <v>96.5</v>
      </c>
      <c r="P72" s="53">
        <v>33.47</v>
      </c>
      <c r="Q72" s="53">
        <v>151.58000000000001</v>
      </c>
      <c r="R72" s="53">
        <v>46</v>
      </c>
      <c r="S72" s="53" t="s">
        <v>155</v>
      </c>
      <c r="T72" s="53">
        <v>370</v>
      </c>
      <c r="U72" s="130">
        <v>4902</v>
      </c>
      <c r="V72" s="118"/>
      <c r="W72" s="130">
        <v>4904</v>
      </c>
      <c r="X72" s="118"/>
      <c r="Y72" s="130"/>
      <c r="Z72" s="118"/>
      <c r="AA72" s="134"/>
      <c r="AB72" s="121"/>
      <c r="AC72" s="121"/>
      <c r="AD72" s="118"/>
      <c r="AE72" s="34"/>
      <c r="AF72" s="34"/>
    </row>
    <row r="73" spans="1:32" ht="15.5">
      <c r="A73" s="65" t="s">
        <v>212</v>
      </c>
      <c r="B73" s="65" t="s">
        <v>42</v>
      </c>
      <c r="C73" s="59">
        <v>0.5180555555555556</v>
      </c>
      <c r="D73" s="53">
        <v>28</v>
      </c>
      <c r="E73" s="28">
        <v>75.3</v>
      </c>
      <c r="F73" s="53">
        <v>0</v>
      </c>
      <c r="G73" s="53">
        <v>0</v>
      </c>
      <c r="H73" s="53">
        <v>219</v>
      </c>
      <c r="I73" s="53">
        <v>23</v>
      </c>
      <c r="J73" s="58">
        <v>128.5</v>
      </c>
      <c r="K73" s="134" t="s">
        <v>149</v>
      </c>
      <c r="L73" s="121"/>
      <c r="M73" s="121"/>
      <c r="N73" s="121"/>
      <c r="O73" s="53">
        <v>95</v>
      </c>
      <c r="P73" s="53">
        <v>19.71</v>
      </c>
      <c r="Q73" s="53">
        <v>358</v>
      </c>
      <c r="R73" s="53">
        <v>0</v>
      </c>
      <c r="S73" s="53">
        <v>0</v>
      </c>
      <c r="T73" s="53">
        <v>134.85</v>
      </c>
      <c r="U73" s="130">
        <v>4929</v>
      </c>
      <c r="V73" s="118"/>
      <c r="W73" s="130" t="s">
        <v>132</v>
      </c>
      <c r="X73" s="118"/>
      <c r="Y73" s="130"/>
      <c r="Z73" s="118"/>
      <c r="AA73" s="134"/>
      <c r="AB73" s="121"/>
      <c r="AC73" s="121"/>
      <c r="AD73" s="118"/>
      <c r="AE73" s="69"/>
      <c r="AF73" s="69"/>
    </row>
    <row r="74" spans="1:32" ht="14">
      <c r="A74" s="51"/>
      <c r="B74" s="65" t="s">
        <v>33</v>
      </c>
      <c r="C74" s="59">
        <v>0.52638888888888891</v>
      </c>
      <c r="D74" s="53">
        <v>27.5</v>
      </c>
      <c r="E74" s="28">
        <v>76.7</v>
      </c>
      <c r="F74" s="53">
        <v>0</v>
      </c>
      <c r="G74" s="53">
        <v>0</v>
      </c>
      <c r="H74" s="53">
        <v>107</v>
      </c>
      <c r="I74" s="53">
        <v>23</v>
      </c>
      <c r="J74" s="58">
        <v>24.8</v>
      </c>
      <c r="K74" s="134" t="s">
        <v>149</v>
      </c>
      <c r="L74" s="121"/>
      <c r="M74" s="121"/>
      <c r="N74" s="121"/>
      <c r="O74" s="53">
        <v>67.5</v>
      </c>
      <c r="P74" s="53">
        <v>23.6</v>
      </c>
      <c r="Q74" s="53">
        <v>90.52</v>
      </c>
      <c r="R74" s="53">
        <v>564</v>
      </c>
      <c r="S74" s="53" t="s">
        <v>155</v>
      </c>
      <c r="T74" s="53" t="s">
        <v>155</v>
      </c>
      <c r="U74" s="130">
        <v>4930</v>
      </c>
      <c r="V74" s="118"/>
      <c r="W74" s="130" t="s">
        <v>132</v>
      </c>
      <c r="X74" s="118"/>
      <c r="Y74" s="130"/>
      <c r="Z74" s="118"/>
      <c r="AA74" s="125" t="s">
        <v>213</v>
      </c>
      <c r="AB74" s="121"/>
      <c r="AC74" s="121"/>
      <c r="AD74" s="118"/>
      <c r="AE74" s="70"/>
      <c r="AF74" s="70"/>
    </row>
    <row r="75" spans="1:32" ht="14">
      <c r="A75" s="51" t="s">
        <v>165</v>
      </c>
      <c r="B75" s="65" t="s">
        <v>39</v>
      </c>
      <c r="C75" s="52">
        <v>0.53333333333333333</v>
      </c>
      <c r="D75" s="53">
        <v>27</v>
      </c>
      <c r="E75" s="28">
        <v>79.099999999999994</v>
      </c>
      <c r="F75" s="53">
        <v>0</v>
      </c>
      <c r="G75" s="53">
        <v>0</v>
      </c>
      <c r="H75" s="53">
        <v>188</v>
      </c>
      <c r="I75" s="53">
        <v>25</v>
      </c>
      <c r="J75" s="58">
        <v>548.5</v>
      </c>
      <c r="K75" s="134" t="s">
        <v>149</v>
      </c>
      <c r="L75" s="121"/>
      <c r="M75" s="121"/>
      <c r="N75" s="121"/>
      <c r="O75" s="53">
        <v>173.5</v>
      </c>
      <c r="P75" s="53">
        <v>31.86</v>
      </c>
      <c r="Q75" s="53">
        <v>366</v>
      </c>
      <c r="R75" s="53">
        <v>37.03</v>
      </c>
      <c r="S75" s="53">
        <v>52.03</v>
      </c>
      <c r="T75" s="53">
        <v>147.85</v>
      </c>
      <c r="U75" s="130">
        <v>4932</v>
      </c>
      <c r="V75" s="118"/>
      <c r="W75" s="130" t="s">
        <v>132</v>
      </c>
      <c r="X75" s="118"/>
      <c r="Y75" s="130"/>
      <c r="Z75" s="118"/>
      <c r="AA75" s="125" t="s">
        <v>195</v>
      </c>
      <c r="AB75" s="121"/>
      <c r="AC75" s="121"/>
      <c r="AD75" s="118"/>
      <c r="AE75" s="70"/>
      <c r="AF75" s="70"/>
    </row>
    <row r="76" spans="1:32" ht="14">
      <c r="A76" s="51"/>
      <c r="B76" s="65" t="s">
        <v>46</v>
      </c>
      <c r="C76" s="52">
        <v>0.53402777777777777</v>
      </c>
      <c r="D76" s="53">
        <v>27.5</v>
      </c>
      <c r="E76" s="28">
        <v>78.2</v>
      </c>
      <c r="F76" s="53">
        <v>0</v>
      </c>
      <c r="G76" s="53">
        <v>0</v>
      </c>
      <c r="H76" s="53">
        <v>167</v>
      </c>
      <c r="I76" s="53">
        <v>21</v>
      </c>
      <c r="J76" s="53">
        <v>309.8</v>
      </c>
      <c r="K76" s="134" t="s">
        <v>149</v>
      </c>
      <c r="L76" s="121"/>
      <c r="M76" s="121"/>
      <c r="N76" s="121"/>
      <c r="O76" s="53" t="s">
        <v>214</v>
      </c>
      <c r="P76" s="53">
        <v>18.53</v>
      </c>
      <c r="Q76" s="53">
        <v>76.7</v>
      </c>
      <c r="R76" s="53">
        <v>370</v>
      </c>
      <c r="S76" s="53">
        <v>224</v>
      </c>
      <c r="T76" s="53">
        <v>220</v>
      </c>
      <c r="U76" s="130">
        <v>4933</v>
      </c>
      <c r="V76" s="118"/>
      <c r="W76" s="130" t="s">
        <v>132</v>
      </c>
      <c r="X76" s="118"/>
      <c r="Y76" s="130"/>
      <c r="Z76" s="118"/>
      <c r="AA76" s="134"/>
      <c r="AB76" s="121"/>
      <c r="AC76" s="121"/>
      <c r="AD76" s="118"/>
      <c r="AE76" s="70"/>
      <c r="AF76" s="70"/>
    </row>
    <row r="77" spans="1:32" ht="14">
      <c r="A77" s="51"/>
      <c r="B77" s="65" t="s">
        <v>44</v>
      </c>
      <c r="C77" s="52">
        <v>4.791666666666667E-2</v>
      </c>
      <c r="D77" s="53" t="s">
        <v>132</v>
      </c>
      <c r="E77" s="53" t="s">
        <v>132</v>
      </c>
      <c r="F77" s="53" t="s">
        <v>132</v>
      </c>
      <c r="G77" s="53" t="s">
        <v>132</v>
      </c>
      <c r="H77" s="53">
        <v>93</v>
      </c>
      <c r="I77" s="53">
        <v>24</v>
      </c>
      <c r="J77" s="53">
        <v>350</v>
      </c>
      <c r="K77" s="134" t="s">
        <v>132</v>
      </c>
      <c r="L77" s="121"/>
      <c r="M77" s="121"/>
      <c r="N77" s="121"/>
      <c r="O77" s="53" t="s">
        <v>132</v>
      </c>
      <c r="P77" s="53" t="s">
        <v>132</v>
      </c>
      <c r="Q77" s="53" t="s">
        <v>132</v>
      </c>
      <c r="R77" s="53" t="s">
        <v>132</v>
      </c>
      <c r="S77" s="53" t="s">
        <v>132</v>
      </c>
      <c r="T77" s="53" t="s">
        <v>132</v>
      </c>
      <c r="U77" s="130">
        <v>4934</v>
      </c>
      <c r="V77" s="118"/>
      <c r="W77" s="130" t="s">
        <v>132</v>
      </c>
      <c r="X77" s="118"/>
      <c r="Y77" s="130"/>
      <c r="Z77" s="118"/>
      <c r="AA77" s="133" t="s">
        <v>133</v>
      </c>
      <c r="AB77" s="121"/>
      <c r="AC77" s="121"/>
      <c r="AD77" s="118"/>
      <c r="AE77" s="70"/>
      <c r="AF77" s="70"/>
    </row>
    <row r="78" spans="1:32" ht="14">
      <c r="A78" s="65" t="s">
        <v>88</v>
      </c>
      <c r="B78" s="65" t="s">
        <v>42</v>
      </c>
      <c r="C78" s="52">
        <v>0.45416666666666666</v>
      </c>
      <c r="D78" s="53">
        <v>30.1</v>
      </c>
      <c r="E78" s="53">
        <v>76.7</v>
      </c>
      <c r="F78" s="53" t="s">
        <v>132</v>
      </c>
      <c r="G78" s="53">
        <v>0</v>
      </c>
      <c r="H78" s="53">
        <v>211</v>
      </c>
      <c r="I78" s="53">
        <v>22</v>
      </c>
      <c r="J78" s="58">
        <v>361.2</v>
      </c>
      <c r="K78" s="134" t="s">
        <v>215</v>
      </c>
      <c r="L78" s="121"/>
      <c r="M78" s="121"/>
      <c r="N78" s="121"/>
      <c r="O78" s="53">
        <v>67.599999999999994</v>
      </c>
      <c r="P78" s="53">
        <v>7.07</v>
      </c>
      <c r="Q78" s="53" t="s">
        <v>155</v>
      </c>
      <c r="R78" s="53">
        <v>19.55</v>
      </c>
      <c r="S78" s="53">
        <v>81.59</v>
      </c>
      <c r="T78" s="53">
        <v>266</v>
      </c>
      <c r="U78" s="130">
        <v>4935</v>
      </c>
      <c r="V78" s="118"/>
      <c r="W78" s="130">
        <v>4937</v>
      </c>
      <c r="X78" s="118"/>
      <c r="Y78" s="130"/>
      <c r="Z78" s="118"/>
      <c r="AA78" s="134"/>
      <c r="AB78" s="121"/>
      <c r="AC78" s="121"/>
      <c r="AD78" s="118"/>
      <c r="AE78" s="70"/>
      <c r="AF78" s="70"/>
    </row>
    <row r="79" spans="1:32" ht="14">
      <c r="A79" s="71"/>
      <c r="B79" s="72" t="s">
        <v>33</v>
      </c>
      <c r="C79" s="73">
        <v>0.46527777777777779</v>
      </c>
      <c r="D79" s="62">
        <v>34.5</v>
      </c>
      <c r="E79" s="62">
        <v>63.4</v>
      </c>
      <c r="F79" s="62" t="s">
        <v>216</v>
      </c>
      <c r="G79" s="62">
        <v>0</v>
      </c>
      <c r="H79" s="62">
        <v>256</v>
      </c>
      <c r="I79" s="62">
        <v>24</v>
      </c>
      <c r="J79" s="7">
        <v>209.5</v>
      </c>
      <c r="K79" s="124" t="s">
        <v>217</v>
      </c>
      <c r="L79" s="121"/>
      <c r="M79" s="121"/>
      <c r="N79" s="118"/>
      <c r="O79" s="62">
        <v>21.7</v>
      </c>
      <c r="P79" s="62">
        <v>29.1</v>
      </c>
      <c r="Q79" s="62">
        <v>17.309999999999999</v>
      </c>
      <c r="R79" s="62">
        <v>14.07</v>
      </c>
      <c r="S79" s="62">
        <v>25.66</v>
      </c>
      <c r="T79" s="62">
        <v>50.03</v>
      </c>
      <c r="U79" s="123">
        <v>4939</v>
      </c>
      <c r="V79" s="118"/>
      <c r="W79" s="123">
        <v>4941</v>
      </c>
      <c r="X79" s="118"/>
      <c r="Y79" s="124"/>
      <c r="Z79" s="118"/>
      <c r="AA79" s="124" t="s">
        <v>218</v>
      </c>
      <c r="AB79" s="121"/>
      <c r="AC79" s="121"/>
      <c r="AD79" s="118"/>
      <c r="AE79" s="64"/>
      <c r="AF79" s="64"/>
    </row>
    <row r="80" spans="1:32" ht="14">
      <c r="A80" s="71"/>
      <c r="B80" s="72" t="s">
        <v>39</v>
      </c>
      <c r="C80" s="73">
        <v>0.47152777777777777</v>
      </c>
      <c r="D80" s="62" t="s">
        <v>132</v>
      </c>
      <c r="E80" s="62" t="s">
        <v>132</v>
      </c>
      <c r="F80" s="62" t="s">
        <v>132</v>
      </c>
      <c r="G80" s="62" t="s">
        <v>132</v>
      </c>
      <c r="H80" s="62">
        <v>203</v>
      </c>
      <c r="I80" s="62">
        <v>25</v>
      </c>
      <c r="J80" s="62">
        <v>551.4</v>
      </c>
      <c r="K80" s="124" t="s">
        <v>132</v>
      </c>
      <c r="L80" s="121"/>
      <c r="M80" s="121"/>
      <c r="N80" s="121"/>
      <c r="O80" s="62" t="s">
        <v>132</v>
      </c>
      <c r="P80" s="62" t="s">
        <v>132</v>
      </c>
      <c r="Q80" s="62" t="s">
        <v>132</v>
      </c>
      <c r="R80" s="62" t="s">
        <v>132</v>
      </c>
      <c r="S80" s="62" t="s">
        <v>132</v>
      </c>
      <c r="T80" s="62" t="s">
        <v>132</v>
      </c>
      <c r="U80" s="123" t="s">
        <v>132</v>
      </c>
      <c r="V80" s="118"/>
      <c r="W80" s="123" t="s">
        <v>132</v>
      </c>
      <c r="X80" s="118"/>
      <c r="Y80" s="124"/>
      <c r="Z80" s="118"/>
      <c r="AA80" s="135" t="s">
        <v>219</v>
      </c>
      <c r="AB80" s="121"/>
      <c r="AC80" s="121"/>
      <c r="AD80" s="118"/>
      <c r="AE80" s="34"/>
      <c r="AF80" s="34"/>
    </row>
    <row r="81" spans="1:32" ht="14">
      <c r="A81" s="71"/>
      <c r="B81" s="72" t="s">
        <v>46</v>
      </c>
      <c r="C81" s="73">
        <v>0.48055555555555557</v>
      </c>
      <c r="D81" s="62" t="s">
        <v>132</v>
      </c>
      <c r="E81" s="62" t="s">
        <v>132</v>
      </c>
      <c r="F81" s="62" t="s">
        <v>132</v>
      </c>
      <c r="G81" s="62" t="s">
        <v>132</v>
      </c>
      <c r="H81" s="62">
        <v>168</v>
      </c>
      <c r="I81" s="62">
        <v>21</v>
      </c>
      <c r="J81" s="62">
        <v>332.7</v>
      </c>
      <c r="K81" s="124" t="s">
        <v>132</v>
      </c>
      <c r="L81" s="121"/>
      <c r="M81" s="121"/>
      <c r="N81" s="121"/>
      <c r="O81" s="62" t="s">
        <v>132</v>
      </c>
      <c r="P81" s="62" t="s">
        <v>132</v>
      </c>
      <c r="Q81" s="62" t="s">
        <v>132</v>
      </c>
      <c r="R81" s="62" t="s">
        <v>132</v>
      </c>
      <c r="S81" s="62" t="s">
        <v>132</v>
      </c>
      <c r="T81" s="62" t="s">
        <v>132</v>
      </c>
      <c r="U81" s="123" t="s">
        <v>132</v>
      </c>
      <c r="V81" s="118"/>
      <c r="W81" s="123" t="s">
        <v>132</v>
      </c>
      <c r="X81" s="118"/>
      <c r="Y81" s="124"/>
      <c r="Z81" s="118"/>
      <c r="AA81" s="135" t="s">
        <v>219</v>
      </c>
      <c r="AB81" s="121"/>
      <c r="AC81" s="121"/>
      <c r="AD81" s="118"/>
      <c r="AE81" s="34"/>
      <c r="AF81" s="34"/>
    </row>
    <row r="82" spans="1:32" ht="14">
      <c r="A82" s="65" t="s">
        <v>89</v>
      </c>
      <c r="B82" s="72" t="s">
        <v>42</v>
      </c>
      <c r="C82" s="73">
        <v>0.68263888888888891</v>
      </c>
      <c r="D82" s="62">
        <v>30</v>
      </c>
      <c r="E82" s="62">
        <v>72.400000000000006</v>
      </c>
      <c r="F82" s="62">
        <v>3370</v>
      </c>
      <c r="G82" s="62">
        <v>0</v>
      </c>
      <c r="H82" s="62">
        <v>133</v>
      </c>
      <c r="I82" s="62">
        <v>22</v>
      </c>
      <c r="J82" s="62">
        <v>197</v>
      </c>
      <c r="K82" s="124" t="s">
        <v>220</v>
      </c>
      <c r="L82" s="121"/>
      <c r="M82" s="121"/>
      <c r="N82" s="121"/>
      <c r="O82" s="62">
        <v>73.599999999999994</v>
      </c>
      <c r="P82" s="62">
        <v>10.43</v>
      </c>
      <c r="Q82" s="62">
        <v>165</v>
      </c>
      <c r="R82" s="62">
        <v>42.19</v>
      </c>
      <c r="S82" s="62" t="s">
        <v>155</v>
      </c>
      <c r="T82" s="62">
        <v>167</v>
      </c>
      <c r="U82" s="123">
        <v>4942</v>
      </c>
      <c r="V82" s="118"/>
      <c r="W82" s="123">
        <v>4943</v>
      </c>
      <c r="X82" s="118"/>
      <c r="Y82" s="124"/>
      <c r="Z82" s="118"/>
      <c r="AA82" s="124"/>
      <c r="AB82" s="121"/>
      <c r="AC82" s="121"/>
      <c r="AD82" s="118"/>
      <c r="AE82" s="34"/>
      <c r="AF82" s="34"/>
    </row>
    <row r="83" spans="1:32" ht="15.5">
      <c r="A83" s="71"/>
      <c r="B83" s="72" t="s">
        <v>33</v>
      </c>
      <c r="C83" s="73">
        <v>0.68958333333333333</v>
      </c>
      <c r="D83" s="62">
        <v>29.9</v>
      </c>
      <c r="E83" s="62">
        <v>71.900000000000006</v>
      </c>
      <c r="F83" s="62">
        <v>1652</v>
      </c>
      <c r="G83" s="62">
        <v>0</v>
      </c>
      <c r="H83" s="62">
        <v>61</v>
      </c>
      <c r="I83" s="62">
        <v>24</v>
      </c>
      <c r="J83" s="62">
        <v>216.7</v>
      </c>
      <c r="K83" s="124" t="s">
        <v>152</v>
      </c>
      <c r="L83" s="121"/>
      <c r="M83" s="121"/>
      <c r="N83" s="121"/>
      <c r="O83" s="62">
        <v>52.7</v>
      </c>
      <c r="P83" s="62">
        <v>49.61</v>
      </c>
      <c r="Q83" s="62">
        <v>28.45</v>
      </c>
      <c r="R83" s="62">
        <v>31.26</v>
      </c>
      <c r="S83" s="62">
        <v>39.729999999999997</v>
      </c>
      <c r="T83" s="62">
        <v>238.6</v>
      </c>
      <c r="U83" s="123">
        <v>4945</v>
      </c>
      <c r="V83" s="118"/>
      <c r="W83" s="123">
        <v>4936</v>
      </c>
      <c r="X83" s="118"/>
      <c r="Y83" s="124"/>
      <c r="Z83" s="118"/>
      <c r="AA83" s="124"/>
      <c r="AB83" s="121"/>
      <c r="AC83" s="121"/>
      <c r="AD83" s="118"/>
      <c r="AE83" s="69"/>
      <c r="AF83" s="69"/>
    </row>
    <row r="84" spans="1:32" ht="14">
      <c r="A84" s="71"/>
      <c r="B84" s="72" t="s">
        <v>39</v>
      </c>
      <c r="C84" s="73">
        <v>0.69861111111111107</v>
      </c>
      <c r="D84" s="62" t="s">
        <v>132</v>
      </c>
      <c r="E84" s="62" t="s">
        <v>132</v>
      </c>
      <c r="F84" s="62" t="s">
        <v>132</v>
      </c>
      <c r="G84" s="62" t="s">
        <v>132</v>
      </c>
      <c r="H84" s="62">
        <v>193</v>
      </c>
      <c r="I84" s="62">
        <v>25</v>
      </c>
      <c r="J84" s="62">
        <v>552.6</v>
      </c>
      <c r="K84" s="124" t="s">
        <v>152</v>
      </c>
      <c r="L84" s="121"/>
      <c r="M84" s="121"/>
      <c r="N84" s="121"/>
      <c r="O84" s="62">
        <v>120.4</v>
      </c>
      <c r="P84" s="62">
        <v>13.64</v>
      </c>
      <c r="Q84" s="62">
        <v>257</v>
      </c>
      <c r="R84" s="62">
        <v>55.62</v>
      </c>
      <c r="S84" s="62">
        <v>115.15</v>
      </c>
      <c r="T84" s="62">
        <v>180</v>
      </c>
      <c r="U84" s="123">
        <v>4947</v>
      </c>
      <c r="V84" s="118"/>
      <c r="W84" s="123" t="s">
        <v>132</v>
      </c>
      <c r="X84" s="118"/>
      <c r="Y84" s="124"/>
      <c r="Z84" s="118"/>
      <c r="AA84" s="136" t="s">
        <v>211</v>
      </c>
      <c r="AB84" s="121"/>
      <c r="AC84" s="121"/>
      <c r="AD84" s="118"/>
      <c r="AE84" s="70"/>
      <c r="AF84" s="70"/>
    </row>
    <row r="85" spans="1:32" ht="14">
      <c r="A85" s="74"/>
      <c r="B85" s="72" t="s">
        <v>48</v>
      </c>
      <c r="C85" s="73">
        <v>0.70416666666666672</v>
      </c>
      <c r="D85" s="62">
        <v>29.9</v>
      </c>
      <c r="E85" s="62">
        <v>69.599999999999994</v>
      </c>
      <c r="F85" s="62">
        <v>2240</v>
      </c>
      <c r="G85" s="62">
        <v>0</v>
      </c>
      <c r="H85" s="62">
        <v>63</v>
      </c>
      <c r="I85" s="62">
        <v>33</v>
      </c>
      <c r="J85" s="62">
        <v>332</v>
      </c>
      <c r="K85" s="124" t="s">
        <v>152</v>
      </c>
      <c r="L85" s="121"/>
      <c r="M85" s="121"/>
      <c r="N85" s="121"/>
      <c r="O85" s="62">
        <v>74.8</v>
      </c>
      <c r="P85" s="62">
        <v>16.510000000000002</v>
      </c>
      <c r="Q85" s="62">
        <v>42.37</v>
      </c>
      <c r="R85" s="62">
        <v>104.56</v>
      </c>
      <c r="S85" s="62">
        <v>15.44</v>
      </c>
      <c r="T85" s="62">
        <v>24.67</v>
      </c>
      <c r="U85" s="123">
        <v>4949</v>
      </c>
      <c r="V85" s="118"/>
      <c r="W85" s="123">
        <v>4</v>
      </c>
      <c r="X85" s="118"/>
      <c r="Y85" s="124"/>
      <c r="Z85" s="118"/>
      <c r="AA85" s="133" t="s">
        <v>221</v>
      </c>
      <c r="AB85" s="121"/>
      <c r="AC85" s="121"/>
      <c r="AD85" s="118"/>
      <c r="AE85" s="70"/>
      <c r="AF85" s="70"/>
    </row>
    <row r="86" spans="1:32" ht="14">
      <c r="A86" s="65" t="s">
        <v>222</v>
      </c>
      <c r="B86" s="72" t="s">
        <v>42</v>
      </c>
      <c r="C86" s="73">
        <v>0.17222222222222222</v>
      </c>
      <c r="D86" s="62">
        <v>24.2</v>
      </c>
      <c r="E86" s="62">
        <v>80</v>
      </c>
      <c r="F86" s="62">
        <v>0</v>
      </c>
      <c r="G86" s="62">
        <v>0</v>
      </c>
      <c r="H86" s="62">
        <v>157</v>
      </c>
      <c r="I86" s="62">
        <v>22</v>
      </c>
      <c r="J86" s="62">
        <v>37.6</v>
      </c>
      <c r="K86" s="124" t="s">
        <v>149</v>
      </c>
      <c r="L86" s="121"/>
      <c r="M86" s="121"/>
      <c r="N86" s="121"/>
      <c r="O86" s="62">
        <v>63.3</v>
      </c>
      <c r="P86" s="62">
        <v>9.6</v>
      </c>
      <c r="Q86" s="62">
        <v>67.099999999999994</v>
      </c>
      <c r="R86" s="62">
        <v>9.1</v>
      </c>
      <c r="S86" s="62">
        <v>98.32</v>
      </c>
      <c r="T86" s="62">
        <v>61.72</v>
      </c>
      <c r="U86" s="123">
        <v>4951</v>
      </c>
      <c r="V86" s="118"/>
      <c r="W86" s="123"/>
      <c r="X86" s="118"/>
      <c r="Y86" s="124"/>
      <c r="Z86" s="118"/>
      <c r="AA86" s="124"/>
      <c r="AB86" s="121"/>
      <c r="AC86" s="121"/>
      <c r="AD86" s="118"/>
      <c r="AE86" s="70"/>
      <c r="AF86" s="70"/>
    </row>
    <row r="87" spans="1:32" ht="14">
      <c r="A87" s="74"/>
      <c r="B87" s="72" t="s">
        <v>33</v>
      </c>
      <c r="C87" s="73">
        <v>0.17708333333333334</v>
      </c>
      <c r="D87" s="62">
        <v>24.4</v>
      </c>
      <c r="E87" s="62">
        <v>81.3</v>
      </c>
      <c r="F87" s="62">
        <v>0</v>
      </c>
      <c r="G87" s="62">
        <v>0</v>
      </c>
      <c r="H87" s="62">
        <v>79</v>
      </c>
      <c r="I87" s="62">
        <v>24</v>
      </c>
      <c r="J87" s="62">
        <v>187.4</v>
      </c>
      <c r="K87" s="124" t="s">
        <v>149</v>
      </c>
      <c r="L87" s="121"/>
      <c r="M87" s="121"/>
      <c r="N87" s="121"/>
      <c r="O87" s="62">
        <v>98.6</v>
      </c>
      <c r="P87" s="62">
        <v>14.95</v>
      </c>
      <c r="Q87" s="62">
        <v>51.4</v>
      </c>
      <c r="R87" s="62" t="s">
        <v>155</v>
      </c>
      <c r="S87" s="62">
        <v>73.400000000000006</v>
      </c>
      <c r="T87" s="62">
        <v>101.56</v>
      </c>
      <c r="U87" s="123">
        <v>4952</v>
      </c>
      <c r="V87" s="118"/>
      <c r="W87" s="123"/>
      <c r="X87" s="118"/>
      <c r="Y87" s="124"/>
      <c r="Z87" s="118"/>
      <c r="AA87" s="124"/>
      <c r="AB87" s="121"/>
      <c r="AC87" s="121"/>
      <c r="AD87" s="118"/>
      <c r="AE87" s="70"/>
      <c r="AF87" s="70"/>
    </row>
    <row r="88" spans="1:32" ht="14">
      <c r="A88" s="74"/>
      <c r="B88" s="72" t="s">
        <v>39</v>
      </c>
      <c r="C88" s="73">
        <v>0.19027777777777777</v>
      </c>
      <c r="D88" s="62">
        <v>25.5</v>
      </c>
      <c r="E88" s="62">
        <v>78.599999999999994</v>
      </c>
      <c r="F88" s="62">
        <v>0</v>
      </c>
      <c r="G88" s="62">
        <v>0</v>
      </c>
      <c r="H88" s="62">
        <v>193</v>
      </c>
      <c r="I88" s="62">
        <v>25</v>
      </c>
      <c r="J88" s="62">
        <v>552.6</v>
      </c>
      <c r="K88" s="124" t="s">
        <v>149</v>
      </c>
      <c r="L88" s="121"/>
      <c r="M88" s="121"/>
      <c r="N88" s="121"/>
      <c r="O88" s="62">
        <v>120.4</v>
      </c>
      <c r="P88" s="62">
        <v>13.64</v>
      </c>
      <c r="Q88" s="62">
        <v>275</v>
      </c>
      <c r="R88" s="62">
        <v>55.62</v>
      </c>
      <c r="S88" s="62">
        <v>115.15</v>
      </c>
      <c r="T88" s="62">
        <v>180</v>
      </c>
      <c r="U88" s="123">
        <v>4960</v>
      </c>
      <c r="V88" s="118"/>
      <c r="W88" s="123"/>
      <c r="X88" s="118"/>
      <c r="Y88" s="124"/>
      <c r="Z88" s="118"/>
      <c r="AA88" s="125" t="s">
        <v>195</v>
      </c>
      <c r="AB88" s="121"/>
      <c r="AC88" s="121"/>
      <c r="AD88" s="118"/>
      <c r="AE88" s="70"/>
      <c r="AF88" s="70"/>
    </row>
    <row r="89" spans="1:32" ht="12.5">
      <c r="A89" s="74"/>
      <c r="B89" s="71"/>
      <c r="C89" s="73"/>
      <c r="D89" s="62"/>
      <c r="E89" s="62"/>
      <c r="F89" s="62"/>
      <c r="G89" s="62"/>
      <c r="H89" s="62"/>
      <c r="I89" s="62"/>
      <c r="J89" s="62"/>
      <c r="K89" s="124"/>
      <c r="L89" s="121"/>
      <c r="M89" s="121"/>
      <c r="N89" s="121"/>
      <c r="O89" s="62"/>
      <c r="P89" s="62"/>
      <c r="Q89" s="62"/>
      <c r="R89" s="62"/>
      <c r="S89" s="62"/>
      <c r="T89" s="62"/>
      <c r="U89" s="123"/>
      <c r="V89" s="118"/>
      <c r="W89" s="123"/>
      <c r="X89" s="118"/>
      <c r="Y89" s="124"/>
      <c r="Z89" s="118"/>
      <c r="AA89" s="124"/>
      <c r="AB89" s="121"/>
      <c r="AC89" s="121"/>
      <c r="AD89" s="118"/>
      <c r="AE89" s="70"/>
      <c r="AF89" s="70"/>
    </row>
    <row r="90" spans="1:32" ht="12.5">
      <c r="A90" s="71"/>
      <c r="B90" s="71"/>
      <c r="C90" s="73"/>
      <c r="D90" s="62"/>
      <c r="E90" s="62"/>
      <c r="F90" s="62"/>
      <c r="G90" s="62"/>
      <c r="H90" s="62"/>
      <c r="I90" s="62"/>
      <c r="J90" s="7"/>
      <c r="K90" s="124"/>
      <c r="L90" s="121"/>
      <c r="M90" s="121"/>
      <c r="N90" s="121"/>
      <c r="O90" s="62"/>
      <c r="P90" s="62"/>
      <c r="Q90" s="62"/>
      <c r="R90" s="62"/>
      <c r="S90" s="62"/>
      <c r="T90" s="62"/>
      <c r="U90" s="123"/>
      <c r="V90" s="118"/>
      <c r="W90" s="123"/>
      <c r="X90" s="118"/>
      <c r="Y90" s="124"/>
      <c r="Z90" s="118"/>
      <c r="AA90" s="124"/>
      <c r="AB90" s="121"/>
      <c r="AC90" s="121"/>
      <c r="AD90" s="118"/>
      <c r="AE90" s="70"/>
      <c r="AF90" s="70"/>
    </row>
    <row r="91" spans="1:32" ht="12.5">
      <c r="A91" s="71"/>
      <c r="B91" s="71"/>
      <c r="C91" s="61"/>
      <c r="D91" s="62"/>
      <c r="E91" s="62"/>
      <c r="F91" s="62"/>
      <c r="G91" s="62"/>
      <c r="H91" s="62"/>
      <c r="I91" s="62"/>
      <c r="J91" s="7"/>
      <c r="K91" s="124"/>
      <c r="L91" s="121"/>
      <c r="M91" s="121"/>
      <c r="N91" s="121"/>
      <c r="O91" s="62"/>
      <c r="P91" s="62"/>
      <c r="Q91" s="62"/>
      <c r="R91" s="62"/>
      <c r="S91" s="62"/>
      <c r="T91" s="62"/>
      <c r="U91" s="123"/>
      <c r="V91" s="118"/>
      <c r="W91" s="123"/>
      <c r="X91" s="118"/>
      <c r="Y91" s="124"/>
      <c r="Z91" s="118"/>
      <c r="AA91" s="124"/>
      <c r="AB91" s="121"/>
      <c r="AC91" s="121"/>
      <c r="AD91" s="118"/>
      <c r="AE91" s="70"/>
      <c r="AF91" s="70"/>
    </row>
    <row r="92" spans="1:32" ht="12.5">
      <c r="A92" s="71"/>
      <c r="B92" s="71"/>
      <c r="C92" s="61"/>
      <c r="D92" s="62"/>
      <c r="E92" s="62"/>
      <c r="F92" s="62"/>
      <c r="G92" s="62"/>
      <c r="H92" s="62"/>
      <c r="I92" s="62"/>
      <c r="J92" s="7"/>
      <c r="K92" s="124"/>
      <c r="L92" s="121"/>
      <c r="M92" s="121"/>
      <c r="N92" s="121"/>
      <c r="O92" s="62"/>
      <c r="P92" s="62"/>
      <c r="Q92" s="62"/>
      <c r="R92" s="62"/>
      <c r="S92" s="62"/>
      <c r="T92" s="62"/>
      <c r="U92" s="123"/>
      <c r="V92" s="118"/>
      <c r="W92" s="123"/>
      <c r="X92" s="118"/>
      <c r="Y92" s="124"/>
      <c r="Z92" s="118"/>
      <c r="AA92" s="124"/>
      <c r="AB92" s="121"/>
      <c r="AC92" s="121"/>
      <c r="AD92" s="118"/>
      <c r="AE92" s="70"/>
      <c r="AF92" s="70"/>
    </row>
    <row r="93" spans="1:32" ht="12.5">
      <c r="A93" s="71"/>
      <c r="B93" s="71"/>
      <c r="C93" s="61"/>
      <c r="D93" s="62"/>
      <c r="E93" s="62"/>
      <c r="F93" s="62"/>
      <c r="G93" s="62"/>
      <c r="H93" s="62"/>
      <c r="I93" s="62"/>
      <c r="J93" s="7"/>
      <c r="K93" s="124"/>
      <c r="L93" s="121"/>
      <c r="M93" s="121"/>
      <c r="N93" s="121"/>
      <c r="O93" s="62"/>
      <c r="P93" s="62"/>
      <c r="Q93" s="62"/>
      <c r="R93" s="62"/>
      <c r="S93" s="62"/>
      <c r="T93" s="62"/>
      <c r="U93" s="123"/>
      <c r="V93" s="118"/>
      <c r="W93" s="123"/>
      <c r="X93" s="118"/>
      <c r="Y93" s="124"/>
      <c r="Z93" s="118"/>
      <c r="AA93" s="124"/>
      <c r="AB93" s="121"/>
      <c r="AC93" s="121"/>
      <c r="AD93" s="118"/>
      <c r="AE93" s="70"/>
      <c r="AF93" s="70"/>
    </row>
    <row r="94" spans="1:32" ht="12.5">
      <c r="A94" s="71"/>
      <c r="B94" s="71"/>
      <c r="C94" s="61"/>
      <c r="D94" s="62"/>
      <c r="E94" s="62"/>
      <c r="F94" s="62"/>
      <c r="G94" s="62"/>
      <c r="H94" s="62"/>
      <c r="I94" s="62"/>
      <c r="J94" s="7"/>
      <c r="K94" s="124"/>
      <c r="L94" s="121"/>
      <c r="M94" s="121"/>
      <c r="N94" s="121"/>
      <c r="O94" s="62"/>
      <c r="P94" s="62"/>
      <c r="Q94" s="62"/>
      <c r="R94" s="62"/>
      <c r="S94" s="62"/>
      <c r="T94" s="62"/>
      <c r="U94" s="123"/>
      <c r="V94" s="118"/>
      <c r="W94" s="123"/>
      <c r="X94" s="118"/>
      <c r="Y94" s="124"/>
      <c r="Z94" s="118"/>
      <c r="AA94" s="124"/>
      <c r="AB94" s="121"/>
      <c r="AC94" s="121"/>
      <c r="AD94" s="118"/>
      <c r="AE94" s="70"/>
      <c r="AF94" s="70"/>
    </row>
    <row r="95" spans="1:32" ht="12.5">
      <c r="A95" s="71"/>
      <c r="B95" s="71"/>
      <c r="C95" s="61"/>
      <c r="D95" s="62"/>
      <c r="E95" s="62"/>
      <c r="F95" s="62"/>
      <c r="G95" s="62"/>
      <c r="H95" s="62"/>
      <c r="I95" s="62"/>
      <c r="J95" s="7"/>
      <c r="K95" s="124"/>
      <c r="L95" s="121"/>
      <c r="M95" s="121"/>
      <c r="N95" s="121"/>
      <c r="O95" s="62"/>
      <c r="P95" s="62"/>
      <c r="Q95" s="62"/>
      <c r="R95" s="62"/>
      <c r="S95" s="62"/>
      <c r="T95" s="62"/>
      <c r="U95" s="123"/>
      <c r="V95" s="118"/>
      <c r="W95" s="123"/>
      <c r="X95" s="118"/>
      <c r="Y95" s="124"/>
      <c r="Z95" s="118"/>
      <c r="AA95" s="124"/>
      <c r="AB95" s="121"/>
      <c r="AC95" s="121"/>
      <c r="AD95" s="118"/>
      <c r="AE95" s="64"/>
      <c r="AF95" s="64"/>
    </row>
    <row r="96" spans="1:32" ht="12.5">
      <c r="A96" s="71"/>
      <c r="B96" s="71"/>
      <c r="C96" s="61"/>
      <c r="D96" s="62"/>
      <c r="E96" s="62"/>
      <c r="F96" s="62"/>
      <c r="G96" s="62"/>
      <c r="H96" s="62"/>
      <c r="I96" s="62"/>
      <c r="J96" s="7"/>
      <c r="K96" s="124"/>
      <c r="L96" s="121"/>
      <c r="M96" s="121"/>
      <c r="N96" s="121"/>
      <c r="O96" s="62"/>
      <c r="P96" s="62"/>
      <c r="Q96" s="62"/>
      <c r="R96" s="62"/>
      <c r="S96" s="62"/>
      <c r="T96" s="62"/>
      <c r="U96" s="123"/>
      <c r="V96" s="118"/>
      <c r="W96" s="123"/>
      <c r="X96" s="118"/>
      <c r="Y96" s="124"/>
      <c r="Z96" s="118"/>
      <c r="AA96" s="124"/>
      <c r="AB96" s="121"/>
      <c r="AC96" s="121"/>
      <c r="AD96" s="118"/>
      <c r="AE96" s="34"/>
      <c r="AF96" s="34"/>
    </row>
    <row r="97" spans="1:32" ht="12.5">
      <c r="A97" s="8" t="s">
        <v>165</v>
      </c>
      <c r="B97" s="71"/>
      <c r="C97" s="39"/>
      <c r="D97" s="62"/>
      <c r="E97" s="62"/>
      <c r="F97" s="62"/>
      <c r="G97" s="62"/>
      <c r="H97" s="62"/>
      <c r="I97" s="62"/>
      <c r="J97" s="7"/>
      <c r="K97" s="124"/>
      <c r="L97" s="121"/>
      <c r="M97" s="121"/>
      <c r="N97" s="121"/>
      <c r="O97" s="62"/>
      <c r="P97" s="62"/>
      <c r="Q97" s="62"/>
      <c r="R97" s="62"/>
      <c r="S97" s="62"/>
      <c r="T97" s="62"/>
      <c r="U97" s="123"/>
      <c r="V97" s="118"/>
      <c r="W97" s="123"/>
      <c r="X97" s="118"/>
      <c r="Y97" s="124"/>
      <c r="Z97" s="118"/>
      <c r="AA97" s="124"/>
      <c r="AB97" s="121"/>
      <c r="AC97" s="121"/>
      <c r="AD97" s="118"/>
      <c r="AE97" s="34"/>
      <c r="AF97" s="34"/>
    </row>
    <row r="98" spans="1:32" ht="12.5">
      <c r="A98" s="71"/>
      <c r="B98" s="71"/>
      <c r="C98" s="39"/>
      <c r="D98" s="62"/>
      <c r="E98" s="62"/>
      <c r="F98" s="62"/>
      <c r="G98" s="62"/>
      <c r="H98" s="62"/>
      <c r="I98" s="62"/>
      <c r="J98" s="62"/>
      <c r="K98" s="124"/>
      <c r="L98" s="121"/>
      <c r="M98" s="121"/>
      <c r="N98" s="121"/>
      <c r="O98" s="62"/>
      <c r="P98" s="62"/>
      <c r="Q98" s="62"/>
      <c r="R98" s="62"/>
      <c r="S98" s="62"/>
      <c r="T98" s="62"/>
      <c r="U98" s="123"/>
      <c r="V98" s="118"/>
      <c r="W98" s="123"/>
      <c r="X98" s="118"/>
      <c r="Y98" s="124"/>
      <c r="Z98" s="118"/>
      <c r="AA98" s="124"/>
      <c r="AB98" s="121"/>
      <c r="AC98" s="121"/>
      <c r="AD98" s="118"/>
      <c r="AE98" s="34"/>
      <c r="AF98" s="34"/>
    </row>
    <row r="99" spans="1:32" ht="15.5">
      <c r="A99" s="71"/>
      <c r="B99" s="71"/>
      <c r="C99" s="39"/>
      <c r="D99" s="62"/>
      <c r="E99" s="62"/>
      <c r="F99" s="62"/>
      <c r="G99" s="62"/>
      <c r="H99" s="62"/>
      <c r="I99" s="62"/>
      <c r="J99" s="62"/>
      <c r="K99" s="124"/>
      <c r="L99" s="121"/>
      <c r="M99" s="121"/>
      <c r="N99" s="121"/>
      <c r="O99" s="62"/>
      <c r="P99" s="62"/>
      <c r="Q99" s="62"/>
      <c r="R99" s="62"/>
      <c r="S99" s="62"/>
      <c r="T99" s="62"/>
      <c r="U99" s="123"/>
      <c r="V99" s="118"/>
      <c r="W99" s="123"/>
      <c r="X99" s="118"/>
      <c r="Y99" s="124"/>
      <c r="Z99" s="118"/>
      <c r="AA99" s="124"/>
      <c r="AB99" s="121"/>
      <c r="AC99" s="121"/>
      <c r="AD99" s="118"/>
      <c r="AE99" s="69"/>
      <c r="AF99" s="69"/>
    </row>
    <row r="100" spans="1:32" ht="12.5">
      <c r="A100" s="8"/>
      <c r="B100" s="71"/>
      <c r="C100" s="73"/>
      <c r="D100" s="62"/>
      <c r="E100" s="62"/>
      <c r="F100" s="62"/>
      <c r="G100" s="62"/>
      <c r="H100" s="62"/>
      <c r="I100" s="62"/>
      <c r="J100" s="7"/>
      <c r="K100" s="124"/>
      <c r="L100" s="121"/>
      <c r="M100" s="121"/>
      <c r="N100" s="118"/>
      <c r="O100" s="62"/>
      <c r="P100" s="62"/>
      <c r="Q100" s="62"/>
      <c r="R100" s="62"/>
      <c r="S100" s="62"/>
      <c r="T100" s="62"/>
      <c r="U100" s="123"/>
      <c r="V100" s="118"/>
      <c r="W100" s="123"/>
      <c r="X100" s="118"/>
      <c r="Y100" s="124"/>
      <c r="Z100" s="118"/>
      <c r="AA100" s="124"/>
      <c r="AB100" s="121"/>
      <c r="AC100" s="121"/>
      <c r="AD100" s="118"/>
      <c r="AE100" s="64"/>
      <c r="AF100" s="64"/>
    </row>
    <row r="101" spans="1:32" ht="12.5">
      <c r="A101" s="71"/>
      <c r="B101" s="71"/>
      <c r="C101" s="73"/>
      <c r="D101" s="62"/>
      <c r="E101" s="62"/>
      <c r="F101" s="62"/>
      <c r="G101" s="62"/>
      <c r="H101" s="62"/>
      <c r="I101" s="62"/>
      <c r="J101" s="7"/>
      <c r="K101" s="124"/>
      <c r="L101" s="121"/>
      <c r="M101" s="121"/>
      <c r="N101" s="118"/>
      <c r="O101" s="62"/>
      <c r="P101" s="62"/>
      <c r="Q101" s="62"/>
      <c r="R101" s="62"/>
      <c r="S101" s="62"/>
      <c r="T101" s="62"/>
      <c r="U101" s="123"/>
      <c r="V101" s="118"/>
      <c r="W101" s="123"/>
      <c r="X101" s="118"/>
      <c r="Y101" s="124"/>
      <c r="Z101" s="118"/>
      <c r="AA101" s="124"/>
      <c r="AB101" s="121"/>
      <c r="AC101" s="121"/>
      <c r="AD101" s="118"/>
      <c r="AE101" s="64"/>
      <c r="AF101" s="64"/>
    </row>
    <row r="102" spans="1:32" ht="12.5">
      <c r="A102" s="71"/>
      <c r="B102" s="71"/>
      <c r="C102" s="73"/>
      <c r="D102" s="62"/>
      <c r="E102" s="62"/>
      <c r="F102" s="62"/>
      <c r="G102" s="62"/>
      <c r="H102" s="62"/>
      <c r="I102" s="62"/>
      <c r="J102" s="62"/>
      <c r="K102" s="124"/>
      <c r="L102" s="121"/>
      <c r="M102" s="121"/>
      <c r="N102" s="121"/>
      <c r="O102" s="62"/>
      <c r="P102" s="62"/>
      <c r="Q102" s="62"/>
      <c r="R102" s="62"/>
      <c r="S102" s="62"/>
      <c r="T102" s="62"/>
      <c r="U102" s="123"/>
      <c r="V102" s="118"/>
      <c r="W102" s="123"/>
      <c r="X102" s="118"/>
      <c r="Y102" s="124"/>
      <c r="Z102" s="118"/>
      <c r="AA102" s="124"/>
      <c r="AB102" s="121"/>
      <c r="AC102" s="121"/>
      <c r="AD102" s="118"/>
      <c r="AE102" s="64"/>
      <c r="AF102" s="64"/>
    </row>
    <row r="103" spans="1:32" ht="12.5">
      <c r="A103" s="71"/>
      <c r="B103" s="71"/>
      <c r="C103" s="73"/>
      <c r="D103" s="62"/>
      <c r="E103" s="62"/>
      <c r="F103" s="62"/>
      <c r="G103" s="62"/>
      <c r="H103" s="62"/>
      <c r="I103" s="62"/>
      <c r="J103" s="62"/>
      <c r="K103" s="124"/>
      <c r="L103" s="121"/>
      <c r="M103" s="121"/>
      <c r="N103" s="121"/>
      <c r="O103" s="62"/>
      <c r="P103" s="62"/>
      <c r="Q103" s="62"/>
      <c r="R103" s="62"/>
      <c r="S103" s="62"/>
      <c r="T103" s="62"/>
      <c r="U103" s="123"/>
      <c r="V103" s="118"/>
      <c r="W103" s="123"/>
      <c r="X103" s="118"/>
      <c r="Y103" s="124"/>
      <c r="Z103" s="118"/>
      <c r="AA103" s="124"/>
      <c r="AB103" s="121"/>
      <c r="AC103" s="121"/>
      <c r="AD103" s="118"/>
      <c r="AE103" s="64"/>
      <c r="AF103" s="64"/>
    </row>
    <row r="104" spans="1:32" ht="12.5">
      <c r="A104" s="71"/>
      <c r="B104" s="71"/>
      <c r="C104" s="73"/>
      <c r="D104" s="62"/>
      <c r="E104" s="62"/>
      <c r="F104" s="62"/>
      <c r="G104" s="62"/>
      <c r="H104" s="62"/>
      <c r="I104" s="62"/>
      <c r="J104" s="62"/>
      <c r="K104" s="124"/>
      <c r="L104" s="121"/>
      <c r="M104" s="121"/>
      <c r="N104" s="121"/>
      <c r="O104" s="62"/>
      <c r="P104" s="62"/>
      <c r="Q104" s="62"/>
      <c r="R104" s="62"/>
      <c r="S104" s="62"/>
      <c r="T104" s="62"/>
      <c r="U104" s="123"/>
      <c r="V104" s="118"/>
      <c r="W104" s="123"/>
      <c r="X104" s="118"/>
      <c r="Y104" s="124"/>
      <c r="Z104" s="118"/>
      <c r="AA104" s="124"/>
      <c r="AB104" s="121"/>
      <c r="AC104" s="121"/>
      <c r="AD104" s="118"/>
      <c r="AE104" s="64"/>
      <c r="AF104" s="64"/>
    </row>
    <row r="105" spans="1:32" ht="12.5">
      <c r="A105" s="71"/>
      <c r="B105" s="71"/>
      <c r="C105" s="73"/>
      <c r="D105" s="62"/>
      <c r="E105" s="62"/>
      <c r="F105" s="62"/>
      <c r="G105" s="62"/>
      <c r="H105" s="62"/>
      <c r="I105" s="62"/>
      <c r="J105" s="62"/>
      <c r="K105" s="124"/>
      <c r="L105" s="121"/>
      <c r="M105" s="121"/>
      <c r="N105" s="121"/>
      <c r="O105" s="62"/>
      <c r="P105" s="62"/>
      <c r="Q105" s="62"/>
      <c r="R105" s="62"/>
      <c r="S105" s="62"/>
      <c r="T105" s="62"/>
      <c r="U105" s="123"/>
      <c r="V105" s="118"/>
      <c r="W105" s="123"/>
      <c r="X105" s="118"/>
      <c r="Y105" s="124"/>
      <c r="Z105" s="118"/>
      <c r="AA105" s="124"/>
      <c r="AB105" s="121"/>
      <c r="AC105" s="121"/>
      <c r="AD105" s="118"/>
      <c r="AE105" s="64"/>
      <c r="AF105" s="64"/>
    </row>
    <row r="106" spans="1:32" ht="12.5">
      <c r="A106" s="71"/>
      <c r="B106" s="71"/>
      <c r="C106" s="73"/>
      <c r="D106" s="62"/>
      <c r="E106" s="62"/>
      <c r="F106" s="62"/>
      <c r="G106" s="62"/>
      <c r="H106" s="62"/>
      <c r="I106" s="62"/>
      <c r="J106" s="62"/>
      <c r="K106" s="124"/>
      <c r="L106" s="121"/>
      <c r="M106" s="121"/>
      <c r="N106" s="121"/>
      <c r="O106" s="62"/>
      <c r="P106" s="62"/>
      <c r="Q106" s="62"/>
      <c r="R106" s="62"/>
      <c r="S106" s="62"/>
      <c r="T106" s="62"/>
      <c r="U106" s="123"/>
      <c r="V106" s="118"/>
      <c r="W106" s="123"/>
      <c r="X106" s="118"/>
      <c r="Y106" s="124"/>
      <c r="Z106" s="118"/>
      <c r="AA106" s="124"/>
      <c r="AB106" s="121"/>
      <c r="AC106" s="121"/>
      <c r="AD106" s="118"/>
      <c r="AE106" s="34"/>
      <c r="AF106" s="34"/>
    </row>
    <row r="107" spans="1:32" ht="12.5">
      <c r="A107" s="71"/>
      <c r="B107" s="71"/>
      <c r="C107" s="73"/>
      <c r="D107" s="62"/>
      <c r="E107" s="62"/>
      <c r="F107" s="62"/>
      <c r="G107" s="62"/>
      <c r="H107" s="62"/>
      <c r="I107" s="62"/>
      <c r="J107" s="62"/>
      <c r="K107" s="124"/>
      <c r="L107" s="121"/>
      <c r="M107" s="121"/>
      <c r="N107" s="121"/>
      <c r="O107" s="62"/>
      <c r="P107" s="62"/>
      <c r="Q107" s="62"/>
      <c r="R107" s="62"/>
      <c r="S107" s="62"/>
      <c r="T107" s="62"/>
      <c r="U107" s="123"/>
      <c r="V107" s="118"/>
      <c r="W107" s="123"/>
      <c r="X107" s="118"/>
      <c r="Y107" s="124"/>
      <c r="Z107" s="118"/>
      <c r="AA107" s="124"/>
      <c r="AB107" s="121"/>
      <c r="AC107" s="121"/>
      <c r="AD107" s="118"/>
      <c r="AE107" s="34"/>
      <c r="AF107" s="34"/>
    </row>
    <row r="108" spans="1:32" ht="12.5">
      <c r="A108" s="71"/>
      <c r="B108" s="71"/>
      <c r="C108" s="73"/>
      <c r="D108" s="62"/>
      <c r="E108" s="62"/>
      <c r="F108" s="62"/>
      <c r="G108" s="62"/>
      <c r="H108" s="62"/>
      <c r="I108" s="62"/>
      <c r="J108" s="62"/>
      <c r="K108" s="124"/>
      <c r="L108" s="121"/>
      <c r="M108" s="121"/>
      <c r="N108" s="121"/>
      <c r="O108" s="62"/>
      <c r="P108" s="62"/>
      <c r="Q108" s="62"/>
      <c r="R108" s="62"/>
      <c r="S108" s="62"/>
      <c r="T108" s="62"/>
      <c r="U108" s="123"/>
      <c r="V108" s="118"/>
      <c r="W108" s="123"/>
      <c r="X108" s="118"/>
      <c r="Y108" s="124"/>
      <c r="Z108" s="118"/>
      <c r="AA108" s="124"/>
      <c r="AB108" s="121"/>
      <c r="AC108" s="121"/>
      <c r="AD108" s="118"/>
      <c r="AE108" s="34"/>
      <c r="AF108" s="34"/>
    </row>
    <row r="109" spans="1:32" ht="12.5">
      <c r="A109" s="71"/>
      <c r="B109" s="71"/>
      <c r="C109" s="73"/>
      <c r="D109" s="62"/>
      <c r="E109" s="62"/>
      <c r="F109" s="62"/>
      <c r="G109" s="62"/>
      <c r="H109" s="62"/>
      <c r="I109" s="62"/>
      <c r="J109" s="62"/>
      <c r="K109" s="124"/>
      <c r="L109" s="121"/>
      <c r="M109" s="121"/>
      <c r="N109" s="121"/>
      <c r="O109" s="62"/>
      <c r="P109" s="62"/>
      <c r="Q109" s="62"/>
      <c r="R109" s="62"/>
      <c r="S109" s="62"/>
      <c r="T109" s="62"/>
      <c r="U109" s="123"/>
      <c r="V109" s="118"/>
      <c r="W109" s="123"/>
      <c r="X109" s="118"/>
      <c r="Y109" s="124"/>
      <c r="Z109" s="118"/>
      <c r="AA109" s="124"/>
      <c r="AB109" s="121"/>
      <c r="AC109" s="121"/>
      <c r="AD109" s="118"/>
    </row>
    <row r="110" spans="1:32" ht="12.5">
      <c r="A110" s="71"/>
      <c r="B110" s="71"/>
      <c r="C110" s="73"/>
      <c r="D110" s="62"/>
      <c r="E110" s="62"/>
      <c r="F110" s="62"/>
      <c r="G110" s="62"/>
      <c r="H110" s="62"/>
      <c r="I110" s="62"/>
      <c r="J110" s="62"/>
      <c r="K110" s="124"/>
      <c r="L110" s="121"/>
      <c r="M110" s="121"/>
      <c r="N110" s="121"/>
      <c r="O110" s="62"/>
      <c r="P110" s="62"/>
      <c r="Q110" s="62"/>
      <c r="R110" s="62"/>
      <c r="S110" s="62"/>
      <c r="T110" s="62"/>
      <c r="U110" s="123"/>
      <c r="V110" s="118"/>
      <c r="W110" s="123"/>
      <c r="X110" s="118"/>
      <c r="Y110" s="124"/>
      <c r="Z110" s="118"/>
      <c r="AA110" s="124"/>
      <c r="AB110" s="121"/>
      <c r="AC110" s="121"/>
      <c r="AD110" s="118"/>
    </row>
    <row r="111" spans="1:32" ht="12.5">
      <c r="A111" s="71"/>
      <c r="B111" s="71"/>
      <c r="C111" s="73"/>
      <c r="D111" s="62"/>
      <c r="E111" s="62"/>
      <c r="F111" s="62"/>
      <c r="G111" s="62"/>
      <c r="H111" s="62"/>
      <c r="I111" s="62"/>
      <c r="J111" s="62"/>
      <c r="K111" s="124"/>
      <c r="L111" s="121"/>
      <c r="M111" s="121"/>
      <c r="N111" s="121"/>
      <c r="O111" s="62"/>
      <c r="P111" s="62"/>
      <c r="Q111" s="62"/>
      <c r="R111" s="62"/>
      <c r="S111" s="62"/>
      <c r="T111" s="62"/>
      <c r="U111" s="123"/>
      <c r="V111" s="118"/>
      <c r="W111" s="123"/>
      <c r="X111" s="118"/>
      <c r="Y111" s="124"/>
      <c r="Z111" s="118"/>
      <c r="AA111" s="124"/>
      <c r="AB111" s="121"/>
      <c r="AC111" s="121"/>
      <c r="AD111" s="118"/>
    </row>
    <row r="112" spans="1:32" ht="12.5">
      <c r="A112" s="71"/>
      <c r="B112" s="71"/>
      <c r="C112" s="73"/>
      <c r="D112" s="62"/>
      <c r="E112" s="62"/>
      <c r="F112" s="62"/>
      <c r="G112" s="62"/>
      <c r="H112" s="62"/>
      <c r="I112" s="62"/>
      <c r="J112" s="7"/>
      <c r="K112" s="124"/>
      <c r="L112" s="121"/>
      <c r="M112" s="121"/>
      <c r="N112" s="121"/>
      <c r="O112" s="62"/>
      <c r="P112" s="62"/>
      <c r="Q112" s="62"/>
      <c r="R112" s="62"/>
      <c r="S112" s="62"/>
      <c r="T112" s="62"/>
      <c r="U112" s="123"/>
      <c r="V112" s="118"/>
      <c r="W112" s="123"/>
      <c r="X112" s="118"/>
      <c r="Y112" s="124"/>
      <c r="Z112" s="118"/>
      <c r="AA112" s="124"/>
      <c r="AB112" s="121"/>
      <c r="AC112" s="121"/>
      <c r="AD112" s="118"/>
    </row>
    <row r="113" spans="1:30" ht="12.5">
      <c r="A113" s="71"/>
      <c r="B113" s="71"/>
      <c r="C113" s="61"/>
      <c r="D113" s="62"/>
      <c r="E113" s="62"/>
      <c r="F113" s="62"/>
      <c r="G113" s="62"/>
      <c r="H113" s="62"/>
      <c r="I113" s="62"/>
      <c r="J113" s="7"/>
      <c r="K113" s="124"/>
      <c r="L113" s="121"/>
      <c r="M113" s="121"/>
      <c r="N113" s="121"/>
      <c r="O113" s="62"/>
      <c r="P113" s="62"/>
      <c r="Q113" s="62"/>
      <c r="R113" s="62"/>
      <c r="S113" s="62"/>
      <c r="T113" s="62"/>
      <c r="U113" s="123"/>
      <c r="V113" s="118"/>
      <c r="W113" s="123"/>
      <c r="X113" s="118"/>
      <c r="Y113" s="124"/>
      <c r="Z113" s="118"/>
      <c r="AA113" s="124"/>
      <c r="AB113" s="121"/>
      <c r="AC113" s="121"/>
      <c r="AD113" s="118"/>
    </row>
    <row r="114" spans="1:30" ht="12.5">
      <c r="A114" s="71"/>
      <c r="B114" s="71"/>
      <c r="C114" s="61"/>
      <c r="D114" s="62"/>
      <c r="E114" s="62"/>
      <c r="F114" s="62"/>
      <c r="G114" s="62"/>
      <c r="H114" s="62"/>
      <c r="I114" s="62"/>
      <c r="J114" s="7"/>
      <c r="K114" s="124"/>
      <c r="L114" s="121"/>
      <c r="M114" s="121"/>
      <c r="N114" s="121"/>
      <c r="O114" s="62"/>
      <c r="P114" s="62"/>
      <c r="Q114" s="62"/>
      <c r="R114" s="62"/>
      <c r="S114" s="62"/>
      <c r="T114" s="62"/>
      <c r="U114" s="123"/>
      <c r="V114" s="118"/>
      <c r="W114" s="123"/>
      <c r="X114" s="118"/>
      <c r="Y114" s="124"/>
      <c r="Z114" s="118"/>
      <c r="AA114" s="124"/>
      <c r="AB114" s="121"/>
      <c r="AC114" s="121"/>
      <c r="AD114" s="118"/>
    </row>
    <row r="115" spans="1:30" ht="12.5">
      <c r="A115" s="71"/>
      <c r="B115" s="71"/>
      <c r="C115" s="61"/>
      <c r="D115" s="62"/>
      <c r="E115" s="62"/>
      <c r="F115" s="62"/>
      <c r="G115" s="62"/>
      <c r="H115" s="62"/>
      <c r="I115" s="62"/>
      <c r="J115" s="7"/>
      <c r="K115" s="124"/>
      <c r="L115" s="121"/>
      <c r="M115" s="121"/>
      <c r="N115" s="121"/>
      <c r="O115" s="62"/>
      <c r="P115" s="62"/>
      <c r="Q115" s="62"/>
      <c r="R115" s="62"/>
      <c r="S115" s="62"/>
      <c r="T115" s="62"/>
      <c r="U115" s="123"/>
      <c r="V115" s="118"/>
      <c r="W115" s="123"/>
      <c r="X115" s="118"/>
      <c r="Y115" s="124"/>
      <c r="Z115" s="118"/>
      <c r="AA115" s="124"/>
      <c r="AB115" s="121"/>
      <c r="AC115" s="121"/>
      <c r="AD115" s="118"/>
    </row>
    <row r="116" spans="1:30" ht="12.5">
      <c r="A116" s="71"/>
      <c r="B116" s="71"/>
      <c r="C116" s="61"/>
      <c r="D116" s="62"/>
      <c r="E116" s="62"/>
      <c r="F116" s="62"/>
      <c r="G116" s="62"/>
      <c r="H116" s="62"/>
      <c r="I116" s="62"/>
      <c r="J116" s="7"/>
      <c r="K116" s="124"/>
      <c r="L116" s="121"/>
      <c r="M116" s="121"/>
      <c r="N116" s="121"/>
      <c r="O116" s="62"/>
      <c r="P116" s="62"/>
      <c r="Q116" s="62"/>
      <c r="R116" s="62"/>
      <c r="S116" s="62"/>
      <c r="T116" s="62"/>
      <c r="U116" s="123"/>
      <c r="V116" s="118"/>
      <c r="W116" s="123"/>
      <c r="X116" s="118"/>
      <c r="Y116" s="124"/>
      <c r="Z116" s="118"/>
      <c r="AA116" s="124"/>
      <c r="AB116" s="121"/>
      <c r="AC116" s="121"/>
      <c r="AD116" s="118"/>
    </row>
    <row r="117" spans="1:30" ht="12.5">
      <c r="A117" s="71"/>
      <c r="B117" s="71"/>
      <c r="C117" s="61"/>
      <c r="D117" s="62"/>
      <c r="E117" s="62"/>
      <c r="F117" s="62"/>
      <c r="G117" s="62"/>
      <c r="H117" s="62"/>
      <c r="I117" s="62"/>
      <c r="J117" s="7"/>
      <c r="K117" s="124"/>
      <c r="L117" s="121"/>
      <c r="M117" s="121"/>
      <c r="N117" s="121"/>
      <c r="O117" s="62"/>
      <c r="P117" s="62"/>
      <c r="Q117" s="62"/>
      <c r="R117" s="62"/>
      <c r="S117" s="62"/>
      <c r="T117" s="62"/>
      <c r="U117" s="123"/>
      <c r="V117" s="118"/>
      <c r="W117" s="123"/>
      <c r="X117" s="118"/>
      <c r="Y117" s="124"/>
      <c r="Z117" s="118"/>
      <c r="AA117" s="124"/>
      <c r="AB117" s="121"/>
      <c r="AC117" s="121"/>
      <c r="AD117" s="118"/>
    </row>
    <row r="118" spans="1:30" ht="12.5">
      <c r="A118" s="71"/>
      <c r="B118" s="71"/>
      <c r="C118" s="61"/>
      <c r="D118" s="62"/>
      <c r="E118" s="62"/>
      <c r="F118" s="62"/>
      <c r="G118" s="62"/>
      <c r="H118" s="62"/>
      <c r="I118" s="62"/>
      <c r="J118" s="7"/>
      <c r="K118" s="124"/>
      <c r="L118" s="121"/>
      <c r="M118" s="121"/>
      <c r="N118" s="121"/>
      <c r="O118" s="62"/>
      <c r="P118" s="62"/>
      <c r="Q118" s="62"/>
      <c r="R118" s="62"/>
      <c r="S118" s="62"/>
      <c r="T118" s="62"/>
      <c r="U118" s="123"/>
      <c r="V118" s="118"/>
      <c r="W118" s="123"/>
      <c r="X118" s="118"/>
      <c r="Y118" s="124"/>
      <c r="Z118" s="118"/>
      <c r="AA118" s="124"/>
      <c r="AB118" s="121"/>
      <c r="AC118" s="121"/>
      <c r="AD118" s="118"/>
    </row>
    <row r="119" spans="1:30" ht="12.5">
      <c r="A119" s="8" t="s">
        <v>165</v>
      </c>
      <c r="B119" s="71"/>
      <c r="C119" s="39"/>
      <c r="D119" s="62"/>
      <c r="E119" s="62"/>
      <c r="F119" s="62"/>
      <c r="G119" s="62"/>
      <c r="H119" s="62"/>
      <c r="I119" s="62"/>
      <c r="J119" s="7"/>
      <c r="K119" s="124"/>
      <c r="L119" s="121"/>
      <c r="M119" s="121"/>
      <c r="N119" s="121"/>
      <c r="O119" s="62"/>
      <c r="P119" s="62"/>
      <c r="Q119" s="62"/>
      <c r="R119" s="62"/>
      <c r="S119" s="62"/>
      <c r="T119" s="62"/>
      <c r="U119" s="123"/>
      <c r="V119" s="118"/>
      <c r="W119" s="123"/>
      <c r="X119" s="118"/>
      <c r="Y119" s="124"/>
      <c r="Z119" s="118"/>
      <c r="AA119" s="124"/>
      <c r="AB119" s="121"/>
      <c r="AC119" s="121"/>
      <c r="AD119" s="118"/>
    </row>
    <row r="120" spans="1:30" ht="12.5">
      <c r="A120" s="71"/>
      <c r="B120" s="71"/>
      <c r="C120" s="39"/>
      <c r="D120" s="62"/>
      <c r="E120" s="62"/>
      <c r="F120" s="62"/>
      <c r="G120" s="62"/>
      <c r="H120" s="62"/>
      <c r="I120" s="62"/>
      <c r="J120" s="62"/>
      <c r="K120" s="124"/>
      <c r="L120" s="121"/>
      <c r="M120" s="121"/>
      <c r="N120" s="121"/>
      <c r="O120" s="62"/>
      <c r="P120" s="62"/>
      <c r="Q120" s="62"/>
      <c r="R120" s="62"/>
      <c r="S120" s="62"/>
      <c r="T120" s="62"/>
      <c r="U120" s="123"/>
      <c r="V120" s="118"/>
      <c r="W120" s="123"/>
      <c r="X120" s="118"/>
      <c r="Y120" s="124"/>
      <c r="Z120" s="118"/>
      <c r="AA120" s="124"/>
      <c r="AB120" s="121"/>
      <c r="AC120" s="121"/>
      <c r="AD120" s="118"/>
    </row>
    <row r="121" spans="1:30" ht="12.5">
      <c r="A121" s="71"/>
      <c r="B121" s="71"/>
      <c r="C121" s="39"/>
      <c r="D121" s="62"/>
      <c r="E121" s="62"/>
      <c r="F121" s="62"/>
      <c r="G121" s="62"/>
      <c r="H121" s="62"/>
      <c r="I121" s="62"/>
      <c r="J121" s="62"/>
      <c r="K121" s="124"/>
      <c r="L121" s="121"/>
      <c r="M121" s="121"/>
      <c r="N121" s="121"/>
      <c r="O121" s="62"/>
      <c r="P121" s="62"/>
      <c r="Q121" s="62"/>
      <c r="R121" s="62"/>
      <c r="S121" s="62"/>
      <c r="T121" s="62"/>
      <c r="U121" s="123"/>
      <c r="V121" s="118"/>
      <c r="W121" s="123"/>
      <c r="X121" s="118"/>
      <c r="Y121" s="124"/>
      <c r="Z121" s="118"/>
      <c r="AA121" s="124"/>
      <c r="AB121" s="121"/>
      <c r="AC121" s="121"/>
      <c r="AD121" s="118"/>
    </row>
    <row r="122" spans="1:30" ht="12.5">
      <c r="A122" s="8"/>
      <c r="B122" s="71"/>
      <c r="C122" s="73"/>
      <c r="D122" s="62"/>
      <c r="E122" s="62"/>
      <c r="F122" s="62"/>
      <c r="G122" s="62"/>
      <c r="H122" s="62"/>
      <c r="I122" s="62"/>
      <c r="J122" s="7"/>
      <c r="K122" s="124"/>
      <c r="L122" s="121"/>
      <c r="M122" s="121"/>
      <c r="N122" s="118"/>
      <c r="O122" s="62"/>
      <c r="P122" s="62"/>
      <c r="Q122" s="62"/>
      <c r="R122" s="62"/>
      <c r="S122" s="62"/>
      <c r="T122" s="62"/>
      <c r="U122" s="123"/>
      <c r="V122" s="118"/>
      <c r="W122" s="123"/>
      <c r="X122" s="118"/>
      <c r="Y122" s="124"/>
      <c r="Z122" s="118"/>
      <c r="AA122" s="124"/>
      <c r="AB122" s="121"/>
      <c r="AC122" s="121"/>
      <c r="AD122" s="118"/>
    </row>
    <row r="123" spans="1:30" ht="12.5">
      <c r="A123" s="71"/>
      <c r="B123" s="71"/>
      <c r="C123" s="73"/>
      <c r="D123" s="62"/>
      <c r="E123" s="62"/>
      <c r="F123" s="62"/>
      <c r="G123" s="62"/>
      <c r="H123" s="62"/>
      <c r="I123" s="62"/>
      <c r="J123" s="7"/>
      <c r="K123" s="124"/>
      <c r="L123" s="121"/>
      <c r="M123" s="121"/>
      <c r="N123" s="118"/>
      <c r="O123" s="62"/>
      <c r="P123" s="62"/>
      <c r="Q123" s="62"/>
      <c r="R123" s="62"/>
      <c r="S123" s="62"/>
      <c r="T123" s="62"/>
      <c r="U123" s="123"/>
      <c r="V123" s="118"/>
      <c r="W123" s="123"/>
      <c r="X123" s="118"/>
      <c r="Y123" s="124"/>
      <c r="Z123" s="118"/>
      <c r="AA123" s="124"/>
      <c r="AB123" s="121"/>
      <c r="AC123" s="121"/>
      <c r="AD123" s="118"/>
    </row>
    <row r="124" spans="1:30" ht="12.5">
      <c r="A124" s="71"/>
      <c r="B124" s="71"/>
      <c r="C124" s="73"/>
      <c r="D124" s="62"/>
      <c r="E124" s="62"/>
      <c r="F124" s="62"/>
      <c r="G124" s="62"/>
      <c r="H124" s="62"/>
      <c r="I124" s="62"/>
      <c r="J124" s="62"/>
      <c r="K124" s="124"/>
      <c r="L124" s="121"/>
      <c r="M124" s="121"/>
      <c r="N124" s="121"/>
      <c r="O124" s="62"/>
      <c r="P124" s="62"/>
      <c r="Q124" s="62"/>
      <c r="R124" s="62"/>
      <c r="S124" s="62"/>
      <c r="T124" s="62"/>
      <c r="U124" s="123"/>
      <c r="V124" s="118"/>
      <c r="W124" s="123"/>
      <c r="X124" s="118"/>
      <c r="Y124" s="124"/>
      <c r="Z124" s="118"/>
      <c r="AA124" s="124"/>
      <c r="AB124" s="121"/>
      <c r="AC124" s="121"/>
      <c r="AD124" s="118"/>
    </row>
    <row r="125" spans="1:30" ht="12.5">
      <c r="A125" s="71"/>
      <c r="B125" s="71"/>
      <c r="C125" s="73"/>
      <c r="D125" s="62"/>
      <c r="E125" s="62"/>
      <c r="F125" s="62"/>
      <c r="G125" s="62"/>
      <c r="H125" s="62"/>
      <c r="I125" s="62"/>
      <c r="J125" s="62"/>
      <c r="K125" s="124"/>
      <c r="L125" s="121"/>
      <c r="M125" s="121"/>
      <c r="N125" s="121"/>
      <c r="O125" s="62"/>
      <c r="P125" s="62"/>
      <c r="Q125" s="62"/>
      <c r="R125" s="62"/>
      <c r="S125" s="62"/>
      <c r="T125" s="62"/>
      <c r="U125" s="123"/>
      <c r="V125" s="118"/>
      <c r="W125" s="123"/>
      <c r="X125" s="118"/>
      <c r="Y125" s="124"/>
      <c r="Z125" s="118"/>
      <c r="AA125" s="124"/>
      <c r="AB125" s="121"/>
      <c r="AC125" s="121"/>
      <c r="AD125" s="118"/>
    </row>
    <row r="126" spans="1:30" ht="12.5">
      <c r="A126" s="71"/>
      <c r="B126" s="71"/>
      <c r="C126" s="73"/>
      <c r="D126" s="62"/>
      <c r="E126" s="62"/>
      <c r="F126" s="62"/>
      <c r="G126" s="62"/>
      <c r="H126" s="62"/>
      <c r="I126" s="62"/>
      <c r="J126" s="62"/>
      <c r="K126" s="124"/>
      <c r="L126" s="121"/>
      <c r="M126" s="121"/>
      <c r="N126" s="121"/>
      <c r="O126" s="62"/>
      <c r="P126" s="62"/>
      <c r="Q126" s="62"/>
      <c r="R126" s="62"/>
      <c r="S126" s="62"/>
      <c r="T126" s="62"/>
      <c r="U126" s="123"/>
      <c r="V126" s="118"/>
      <c r="W126" s="123"/>
      <c r="X126" s="118"/>
      <c r="Y126" s="124"/>
      <c r="Z126" s="118"/>
      <c r="AA126" s="124"/>
      <c r="AB126" s="121"/>
      <c r="AC126" s="121"/>
      <c r="AD126" s="118"/>
    </row>
    <row r="127" spans="1:30" ht="12.5">
      <c r="A127" s="71"/>
      <c r="B127" s="71"/>
      <c r="C127" s="73"/>
      <c r="D127" s="62"/>
      <c r="E127" s="62"/>
      <c r="F127" s="62"/>
      <c r="G127" s="62"/>
      <c r="H127" s="62"/>
      <c r="I127" s="62"/>
      <c r="J127" s="62"/>
      <c r="K127" s="124"/>
      <c r="L127" s="121"/>
      <c r="M127" s="121"/>
      <c r="N127" s="121"/>
      <c r="O127" s="62"/>
      <c r="P127" s="62"/>
      <c r="Q127" s="62"/>
      <c r="R127" s="62"/>
      <c r="S127" s="62"/>
      <c r="T127" s="62"/>
      <c r="U127" s="123"/>
      <c r="V127" s="118"/>
      <c r="W127" s="123"/>
      <c r="X127" s="118"/>
      <c r="Y127" s="124"/>
      <c r="Z127" s="118"/>
      <c r="AA127" s="124"/>
      <c r="AB127" s="121"/>
      <c r="AC127" s="121"/>
      <c r="AD127" s="118"/>
    </row>
    <row r="128" spans="1:30" ht="12.5">
      <c r="A128" s="71"/>
      <c r="B128" s="71"/>
      <c r="C128" s="73"/>
      <c r="D128" s="62"/>
      <c r="E128" s="62"/>
      <c r="F128" s="62"/>
      <c r="G128" s="62"/>
      <c r="H128" s="62"/>
      <c r="I128" s="62"/>
      <c r="J128" s="62"/>
      <c r="K128" s="124"/>
      <c r="L128" s="121"/>
      <c r="M128" s="121"/>
      <c r="N128" s="121"/>
      <c r="O128" s="62"/>
      <c r="P128" s="62"/>
      <c r="Q128" s="62"/>
      <c r="R128" s="62"/>
      <c r="S128" s="62"/>
      <c r="T128" s="62"/>
      <c r="U128" s="123"/>
      <c r="V128" s="118"/>
      <c r="W128" s="123"/>
      <c r="X128" s="118"/>
      <c r="Y128" s="124"/>
      <c r="Z128" s="118"/>
      <c r="AA128" s="124"/>
      <c r="AB128" s="121"/>
      <c r="AC128" s="121"/>
      <c r="AD128" s="118"/>
    </row>
    <row r="129" spans="1:30" ht="12.5">
      <c r="A129" s="71"/>
      <c r="B129" s="71"/>
      <c r="C129" s="73"/>
      <c r="D129" s="62"/>
      <c r="E129" s="62"/>
      <c r="F129" s="62"/>
      <c r="G129" s="62"/>
      <c r="H129" s="62"/>
      <c r="I129" s="62"/>
      <c r="J129" s="62"/>
      <c r="K129" s="124"/>
      <c r="L129" s="121"/>
      <c r="M129" s="121"/>
      <c r="N129" s="121"/>
      <c r="O129" s="62"/>
      <c r="P129" s="62"/>
      <c r="Q129" s="62"/>
      <c r="R129" s="62"/>
      <c r="S129" s="62"/>
      <c r="T129" s="62"/>
      <c r="U129" s="123"/>
      <c r="V129" s="118"/>
      <c r="W129" s="123"/>
      <c r="X129" s="118"/>
      <c r="Y129" s="124"/>
      <c r="Z129" s="118"/>
      <c r="AA129" s="124"/>
      <c r="AB129" s="121"/>
      <c r="AC129" s="121"/>
      <c r="AD129" s="118"/>
    </row>
    <row r="130" spans="1:30" ht="12.5">
      <c r="A130" s="71"/>
      <c r="B130" s="71"/>
      <c r="C130" s="73"/>
      <c r="D130" s="62"/>
      <c r="E130" s="62"/>
      <c r="F130" s="62"/>
      <c r="G130" s="62"/>
      <c r="H130" s="62"/>
      <c r="I130" s="62"/>
      <c r="J130" s="62"/>
      <c r="K130" s="124"/>
      <c r="L130" s="121"/>
      <c r="M130" s="121"/>
      <c r="N130" s="121"/>
      <c r="O130" s="62"/>
      <c r="P130" s="62"/>
      <c r="Q130" s="62"/>
      <c r="R130" s="62"/>
      <c r="S130" s="62"/>
      <c r="T130" s="62"/>
      <c r="U130" s="123"/>
      <c r="V130" s="118"/>
      <c r="W130" s="123"/>
      <c r="X130" s="118"/>
      <c r="Y130" s="124"/>
      <c r="Z130" s="118"/>
      <c r="AA130" s="124"/>
      <c r="AB130" s="121"/>
      <c r="AC130" s="121"/>
      <c r="AD130" s="118"/>
    </row>
    <row r="131" spans="1:30" ht="12.5">
      <c r="A131" s="71"/>
      <c r="B131" s="71"/>
      <c r="C131" s="73"/>
      <c r="D131" s="62"/>
      <c r="E131" s="62"/>
      <c r="F131" s="62"/>
      <c r="G131" s="62"/>
      <c r="H131" s="62"/>
      <c r="I131" s="62"/>
      <c r="J131" s="62"/>
      <c r="K131" s="124"/>
      <c r="L131" s="121"/>
      <c r="M131" s="121"/>
      <c r="N131" s="121"/>
      <c r="O131" s="62"/>
      <c r="P131" s="62"/>
      <c r="Q131" s="62"/>
      <c r="R131" s="62"/>
      <c r="S131" s="62"/>
      <c r="T131" s="62"/>
      <c r="U131" s="123"/>
      <c r="V131" s="118"/>
      <c r="W131" s="123"/>
      <c r="X131" s="118"/>
      <c r="Y131" s="124"/>
      <c r="Z131" s="118"/>
      <c r="AA131" s="124"/>
      <c r="AB131" s="121"/>
      <c r="AC131" s="121"/>
      <c r="AD131" s="118"/>
    </row>
    <row r="132" spans="1:30" ht="12.5">
      <c r="A132" s="71"/>
      <c r="B132" s="71"/>
      <c r="C132" s="73"/>
      <c r="D132" s="62"/>
      <c r="E132" s="62"/>
      <c r="F132" s="62"/>
      <c r="G132" s="62"/>
      <c r="H132" s="62"/>
      <c r="I132" s="62"/>
      <c r="J132" s="62"/>
      <c r="K132" s="124"/>
      <c r="L132" s="121"/>
      <c r="M132" s="121"/>
      <c r="N132" s="121"/>
      <c r="O132" s="62"/>
      <c r="P132" s="62"/>
      <c r="Q132" s="62"/>
      <c r="R132" s="62"/>
      <c r="S132" s="62"/>
      <c r="T132" s="62"/>
      <c r="U132" s="123"/>
      <c r="V132" s="118"/>
      <c r="W132" s="123"/>
      <c r="X132" s="118"/>
      <c r="Y132" s="124"/>
      <c r="Z132" s="118"/>
      <c r="AA132" s="124"/>
      <c r="AB132" s="121"/>
      <c r="AC132" s="121"/>
      <c r="AD132" s="118"/>
    </row>
    <row r="133" spans="1:30" ht="12.5">
      <c r="A133" s="71"/>
      <c r="B133" s="71"/>
      <c r="C133" s="73"/>
      <c r="D133" s="62"/>
      <c r="E133" s="62"/>
      <c r="F133" s="62"/>
      <c r="G133" s="62"/>
      <c r="H133" s="62"/>
      <c r="I133" s="62"/>
      <c r="J133" s="62"/>
      <c r="K133" s="124"/>
      <c r="L133" s="121"/>
      <c r="M133" s="121"/>
      <c r="N133" s="121"/>
      <c r="O133" s="62"/>
      <c r="P133" s="62"/>
      <c r="Q133" s="62"/>
      <c r="R133" s="62"/>
      <c r="S133" s="62"/>
      <c r="T133" s="62"/>
      <c r="U133" s="123"/>
      <c r="V133" s="118"/>
      <c r="W133" s="123"/>
      <c r="X133" s="118"/>
      <c r="Y133" s="124"/>
      <c r="Z133" s="118"/>
      <c r="AA133" s="124"/>
      <c r="AB133" s="121"/>
      <c r="AC133" s="121"/>
      <c r="AD133" s="118"/>
    </row>
    <row r="134" spans="1:30" ht="12.5">
      <c r="A134" s="71"/>
      <c r="B134" s="71"/>
      <c r="C134" s="73"/>
      <c r="D134" s="62"/>
      <c r="E134" s="62"/>
      <c r="F134" s="62"/>
      <c r="G134" s="62"/>
      <c r="H134" s="62"/>
      <c r="I134" s="62"/>
      <c r="J134" s="7"/>
      <c r="K134" s="124"/>
      <c r="L134" s="121"/>
      <c r="M134" s="121"/>
      <c r="N134" s="121"/>
      <c r="O134" s="62"/>
      <c r="P134" s="62"/>
      <c r="Q134" s="62"/>
      <c r="R134" s="62"/>
      <c r="S134" s="62"/>
      <c r="T134" s="62"/>
      <c r="U134" s="123"/>
      <c r="V134" s="118"/>
      <c r="W134" s="123"/>
      <c r="X134" s="118"/>
      <c r="Y134" s="124"/>
      <c r="Z134" s="118"/>
      <c r="AA134" s="124"/>
      <c r="AB134" s="121"/>
      <c r="AC134" s="121"/>
      <c r="AD134" s="118"/>
    </row>
    <row r="135" spans="1:30" ht="12.5">
      <c r="A135" s="71"/>
      <c r="B135" s="71"/>
      <c r="C135" s="61"/>
      <c r="D135" s="62"/>
      <c r="E135" s="62"/>
      <c r="F135" s="62"/>
      <c r="G135" s="62"/>
      <c r="H135" s="62"/>
      <c r="I135" s="62"/>
      <c r="J135" s="7"/>
      <c r="K135" s="124"/>
      <c r="L135" s="121"/>
      <c r="M135" s="121"/>
      <c r="N135" s="121"/>
      <c r="O135" s="62"/>
      <c r="P135" s="62"/>
      <c r="Q135" s="62"/>
      <c r="R135" s="62"/>
      <c r="S135" s="62"/>
      <c r="T135" s="62"/>
      <c r="U135" s="123"/>
      <c r="V135" s="118"/>
      <c r="W135" s="123"/>
      <c r="X135" s="118"/>
      <c r="Y135" s="124"/>
      <c r="Z135" s="118"/>
      <c r="AA135" s="124"/>
      <c r="AB135" s="121"/>
      <c r="AC135" s="121"/>
      <c r="AD135" s="118"/>
    </row>
    <row r="136" spans="1:30" ht="12.5">
      <c r="A136" s="71"/>
      <c r="B136" s="71"/>
      <c r="C136" s="61"/>
      <c r="D136" s="62"/>
      <c r="E136" s="62"/>
      <c r="F136" s="62"/>
      <c r="G136" s="62"/>
      <c r="H136" s="62"/>
      <c r="I136" s="62"/>
      <c r="J136" s="7"/>
      <c r="K136" s="124"/>
      <c r="L136" s="121"/>
      <c r="M136" s="121"/>
      <c r="N136" s="121"/>
      <c r="O136" s="62"/>
      <c r="P136" s="62"/>
      <c r="Q136" s="62"/>
      <c r="R136" s="62"/>
      <c r="S136" s="62"/>
      <c r="T136" s="62"/>
      <c r="U136" s="123"/>
      <c r="V136" s="118"/>
      <c r="W136" s="123"/>
      <c r="X136" s="118"/>
      <c r="Y136" s="124"/>
      <c r="Z136" s="118"/>
      <c r="AA136" s="124"/>
      <c r="AB136" s="121"/>
      <c r="AC136" s="121"/>
      <c r="AD136" s="118"/>
    </row>
    <row r="137" spans="1:30" ht="12.5">
      <c r="A137" s="71"/>
      <c r="B137" s="71"/>
      <c r="C137" s="61"/>
      <c r="D137" s="62"/>
      <c r="E137" s="62"/>
      <c r="F137" s="62"/>
      <c r="G137" s="62"/>
      <c r="H137" s="62"/>
      <c r="I137" s="62"/>
      <c r="J137" s="7"/>
      <c r="K137" s="124"/>
      <c r="L137" s="121"/>
      <c r="M137" s="121"/>
      <c r="N137" s="121"/>
      <c r="O137" s="62"/>
      <c r="P137" s="62"/>
      <c r="Q137" s="62"/>
      <c r="R137" s="62"/>
      <c r="S137" s="62"/>
      <c r="T137" s="62"/>
      <c r="U137" s="123"/>
      <c r="V137" s="118"/>
      <c r="W137" s="123"/>
      <c r="X137" s="118"/>
      <c r="Y137" s="124"/>
      <c r="Z137" s="118"/>
      <c r="AA137" s="124"/>
      <c r="AB137" s="121"/>
      <c r="AC137" s="121"/>
      <c r="AD137" s="118"/>
    </row>
    <row r="138" spans="1:30" ht="12.5">
      <c r="A138" s="71"/>
      <c r="B138" s="71"/>
      <c r="C138" s="61"/>
      <c r="D138" s="62"/>
      <c r="E138" s="62"/>
      <c r="F138" s="62"/>
      <c r="G138" s="62"/>
      <c r="H138" s="62"/>
      <c r="I138" s="62"/>
      <c r="J138" s="7"/>
      <c r="K138" s="124"/>
      <c r="L138" s="121"/>
      <c r="M138" s="121"/>
      <c r="N138" s="121"/>
      <c r="O138" s="62"/>
      <c r="P138" s="62"/>
      <c r="Q138" s="62"/>
      <c r="R138" s="62"/>
      <c r="S138" s="62"/>
      <c r="T138" s="62"/>
      <c r="U138" s="123"/>
      <c r="V138" s="118"/>
      <c r="W138" s="123"/>
      <c r="X138" s="118"/>
      <c r="Y138" s="124"/>
      <c r="Z138" s="118"/>
      <c r="AA138" s="124"/>
      <c r="AB138" s="121"/>
      <c r="AC138" s="121"/>
      <c r="AD138" s="118"/>
    </row>
    <row r="139" spans="1:30" ht="12.5">
      <c r="A139" s="71"/>
      <c r="B139" s="71"/>
      <c r="C139" s="61"/>
      <c r="D139" s="62"/>
      <c r="E139" s="62"/>
      <c r="F139" s="62"/>
      <c r="G139" s="62"/>
      <c r="H139" s="62"/>
      <c r="I139" s="62"/>
      <c r="J139" s="7"/>
      <c r="K139" s="124"/>
      <c r="L139" s="121"/>
      <c r="M139" s="121"/>
      <c r="N139" s="121"/>
      <c r="O139" s="62"/>
      <c r="P139" s="62"/>
      <c r="Q139" s="62"/>
      <c r="R139" s="62"/>
      <c r="S139" s="62"/>
      <c r="T139" s="62"/>
      <c r="U139" s="123"/>
      <c r="V139" s="118"/>
      <c r="W139" s="123"/>
      <c r="X139" s="118"/>
      <c r="Y139" s="124"/>
      <c r="Z139" s="118"/>
      <c r="AA139" s="124"/>
      <c r="AB139" s="121"/>
      <c r="AC139" s="121"/>
      <c r="AD139" s="118"/>
    </row>
    <row r="140" spans="1:30" ht="12.5">
      <c r="A140" s="71"/>
      <c r="B140" s="71"/>
      <c r="C140" s="61"/>
      <c r="D140" s="62"/>
      <c r="E140" s="62"/>
      <c r="F140" s="62"/>
      <c r="G140" s="62"/>
      <c r="H140" s="62"/>
      <c r="I140" s="62"/>
      <c r="J140" s="7"/>
      <c r="K140" s="124"/>
      <c r="L140" s="121"/>
      <c r="M140" s="121"/>
      <c r="N140" s="121"/>
      <c r="O140" s="62"/>
      <c r="P140" s="62"/>
      <c r="Q140" s="62"/>
      <c r="R140" s="62"/>
      <c r="S140" s="62"/>
      <c r="T140" s="62"/>
      <c r="U140" s="123"/>
      <c r="V140" s="118"/>
      <c r="W140" s="123"/>
      <c r="X140" s="118"/>
      <c r="Y140" s="124"/>
      <c r="Z140" s="118"/>
      <c r="AA140" s="124"/>
      <c r="AB140" s="121"/>
      <c r="AC140" s="121"/>
      <c r="AD140" s="118"/>
    </row>
    <row r="141" spans="1:30" ht="12.5">
      <c r="A141" s="8" t="s">
        <v>165</v>
      </c>
      <c r="B141" s="71"/>
      <c r="C141" s="39"/>
      <c r="D141" s="62"/>
      <c r="E141" s="62"/>
      <c r="F141" s="62"/>
      <c r="G141" s="62"/>
      <c r="H141" s="62"/>
      <c r="I141" s="62"/>
      <c r="J141" s="7"/>
      <c r="K141" s="124"/>
      <c r="L141" s="121"/>
      <c r="M141" s="121"/>
      <c r="N141" s="121"/>
      <c r="O141" s="62"/>
      <c r="P141" s="62"/>
      <c r="Q141" s="62"/>
      <c r="R141" s="62"/>
      <c r="S141" s="62"/>
      <c r="T141" s="62"/>
      <c r="U141" s="123"/>
      <c r="V141" s="118"/>
      <c r="W141" s="123"/>
      <c r="X141" s="118"/>
      <c r="Y141" s="124"/>
      <c r="Z141" s="118"/>
      <c r="AA141" s="124"/>
      <c r="AB141" s="121"/>
      <c r="AC141" s="121"/>
      <c r="AD141" s="118"/>
    </row>
    <row r="142" spans="1:30" ht="12.5">
      <c r="A142" s="71"/>
      <c r="B142" s="71"/>
      <c r="C142" s="39"/>
      <c r="D142" s="62"/>
      <c r="E142" s="62"/>
      <c r="F142" s="62"/>
      <c r="G142" s="62"/>
      <c r="H142" s="62"/>
      <c r="I142" s="62"/>
      <c r="J142" s="62"/>
      <c r="K142" s="124"/>
      <c r="L142" s="121"/>
      <c r="M142" s="121"/>
      <c r="N142" s="121"/>
      <c r="O142" s="62"/>
      <c r="P142" s="62"/>
      <c r="Q142" s="62"/>
      <c r="R142" s="62"/>
      <c r="S142" s="62"/>
      <c r="T142" s="62"/>
      <c r="U142" s="123"/>
      <c r="V142" s="118"/>
      <c r="W142" s="123"/>
      <c r="X142" s="118"/>
      <c r="Y142" s="124"/>
      <c r="Z142" s="118"/>
      <c r="AA142" s="124"/>
      <c r="AB142" s="121"/>
      <c r="AC142" s="121"/>
      <c r="AD142" s="118"/>
    </row>
    <row r="143" spans="1:30" ht="12.5">
      <c r="A143" s="71"/>
      <c r="B143" s="71"/>
      <c r="C143" s="39"/>
      <c r="D143" s="62"/>
      <c r="E143" s="62"/>
      <c r="F143" s="62"/>
      <c r="G143" s="62"/>
      <c r="H143" s="62"/>
      <c r="I143" s="62"/>
      <c r="J143" s="62"/>
      <c r="K143" s="124"/>
      <c r="L143" s="121"/>
      <c r="M143" s="121"/>
      <c r="N143" s="121"/>
      <c r="O143" s="62"/>
      <c r="P143" s="62"/>
      <c r="Q143" s="62"/>
      <c r="R143" s="62"/>
      <c r="S143" s="62"/>
      <c r="T143" s="62"/>
      <c r="U143" s="123"/>
      <c r="V143" s="118"/>
      <c r="W143" s="123"/>
      <c r="X143" s="118"/>
      <c r="Y143" s="124"/>
      <c r="Z143" s="118"/>
      <c r="AA143" s="124"/>
      <c r="AB143" s="121"/>
      <c r="AC143" s="121"/>
      <c r="AD143" s="118"/>
    </row>
    <row r="144" spans="1:30" ht="12.5">
      <c r="A144" s="8" t="s">
        <v>165</v>
      </c>
      <c r="B144" s="71"/>
      <c r="C144" s="39"/>
      <c r="D144" s="62"/>
      <c r="E144" s="62"/>
      <c r="F144" s="62"/>
      <c r="G144" s="62"/>
      <c r="H144" s="62"/>
      <c r="I144" s="62"/>
      <c r="J144" s="7"/>
      <c r="K144" s="124"/>
      <c r="L144" s="121"/>
      <c r="M144" s="121"/>
      <c r="N144" s="121"/>
      <c r="O144" s="62"/>
      <c r="P144" s="62"/>
      <c r="Q144" s="62"/>
      <c r="R144" s="62"/>
      <c r="S144" s="62"/>
      <c r="T144" s="62"/>
      <c r="U144" s="123"/>
      <c r="V144" s="118"/>
      <c r="W144" s="123"/>
      <c r="X144" s="118"/>
      <c r="Y144" s="124"/>
      <c r="Z144" s="118"/>
      <c r="AA144" s="124"/>
      <c r="AB144" s="121"/>
      <c r="AC144" s="121"/>
      <c r="AD144" s="118"/>
    </row>
    <row r="145" spans="1:30" ht="12.5">
      <c r="A145" s="8"/>
      <c r="B145" s="71"/>
      <c r="C145" s="73"/>
      <c r="D145" s="62"/>
      <c r="E145" s="62"/>
      <c r="F145" s="62"/>
      <c r="G145" s="62"/>
      <c r="H145" s="62"/>
      <c r="I145" s="62"/>
      <c r="J145" s="7"/>
      <c r="K145" s="124"/>
      <c r="L145" s="121"/>
      <c r="M145" s="121"/>
      <c r="N145" s="118"/>
      <c r="O145" s="62"/>
      <c r="P145" s="62"/>
      <c r="Q145" s="62"/>
      <c r="R145" s="62"/>
      <c r="S145" s="62"/>
      <c r="T145" s="62"/>
      <c r="U145" s="123"/>
      <c r="V145" s="118"/>
      <c r="W145" s="123"/>
      <c r="X145" s="118"/>
      <c r="Y145" s="124"/>
      <c r="Z145" s="118"/>
      <c r="AA145" s="124"/>
      <c r="AB145" s="121"/>
      <c r="AC145" s="121"/>
      <c r="AD145" s="118"/>
    </row>
    <row r="146" spans="1:30" ht="12.5">
      <c r="A146" s="71"/>
      <c r="B146" s="71"/>
      <c r="C146" s="73"/>
      <c r="D146" s="62"/>
      <c r="E146" s="62"/>
      <c r="F146" s="62"/>
      <c r="G146" s="62"/>
      <c r="H146" s="62"/>
      <c r="I146" s="62"/>
      <c r="J146" s="7"/>
      <c r="K146" s="124"/>
      <c r="L146" s="121"/>
      <c r="M146" s="121"/>
      <c r="N146" s="118"/>
      <c r="O146" s="62"/>
      <c r="P146" s="62"/>
      <c r="Q146" s="62"/>
      <c r="R146" s="62"/>
      <c r="S146" s="62"/>
      <c r="T146" s="62"/>
      <c r="U146" s="123"/>
      <c r="V146" s="118"/>
      <c r="W146" s="123"/>
      <c r="X146" s="118"/>
      <c r="Y146" s="124"/>
      <c r="Z146" s="118"/>
      <c r="AA146" s="124"/>
      <c r="AB146" s="121"/>
      <c r="AC146" s="121"/>
      <c r="AD146" s="118"/>
    </row>
    <row r="147" spans="1:30" ht="12.5">
      <c r="A147" s="71"/>
      <c r="B147" s="71"/>
      <c r="C147" s="73"/>
      <c r="D147" s="62"/>
      <c r="E147" s="62"/>
      <c r="F147" s="62"/>
      <c r="G147" s="62"/>
      <c r="H147" s="62"/>
      <c r="I147" s="62"/>
      <c r="J147" s="62"/>
      <c r="K147" s="124"/>
      <c r="L147" s="121"/>
      <c r="M147" s="121"/>
      <c r="N147" s="121"/>
      <c r="O147" s="62"/>
      <c r="P147" s="62"/>
      <c r="Q147" s="62"/>
      <c r="R147" s="62"/>
      <c r="S147" s="62"/>
      <c r="T147" s="62"/>
      <c r="U147" s="123"/>
      <c r="V147" s="118"/>
      <c r="W147" s="123"/>
      <c r="X147" s="118"/>
      <c r="Y147" s="124"/>
      <c r="Z147" s="118"/>
      <c r="AA147" s="124"/>
      <c r="AB147" s="121"/>
      <c r="AC147" s="121"/>
      <c r="AD147" s="118"/>
    </row>
    <row r="148" spans="1:30" ht="12.5">
      <c r="A148" s="71"/>
      <c r="B148" s="71"/>
      <c r="C148" s="73"/>
      <c r="D148" s="62"/>
      <c r="E148" s="62"/>
      <c r="F148" s="62"/>
      <c r="G148" s="62"/>
      <c r="H148" s="62"/>
      <c r="I148" s="62"/>
      <c r="J148" s="62"/>
      <c r="K148" s="124"/>
      <c r="L148" s="121"/>
      <c r="M148" s="121"/>
      <c r="N148" s="121"/>
      <c r="O148" s="62"/>
      <c r="P148" s="62"/>
      <c r="Q148" s="62"/>
      <c r="R148" s="62"/>
      <c r="S148" s="62"/>
      <c r="T148" s="62"/>
      <c r="U148" s="123"/>
      <c r="V148" s="118"/>
      <c r="W148" s="123"/>
      <c r="X148" s="118"/>
      <c r="Y148" s="124"/>
      <c r="Z148" s="118"/>
      <c r="AA148" s="124"/>
      <c r="AB148" s="121"/>
      <c r="AC148" s="121"/>
      <c r="AD148" s="118"/>
    </row>
    <row r="149" spans="1:30" ht="12.5">
      <c r="A149" s="71"/>
      <c r="B149" s="71"/>
      <c r="C149" s="73"/>
      <c r="D149" s="62"/>
      <c r="E149" s="62"/>
      <c r="F149" s="62"/>
      <c r="G149" s="62"/>
      <c r="H149" s="62"/>
      <c r="I149" s="62"/>
      <c r="J149" s="62"/>
      <c r="K149" s="124"/>
      <c r="L149" s="121"/>
      <c r="M149" s="121"/>
      <c r="N149" s="121"/>
      <c r="O149" s="62"/>
      <c r="P149" s="62"/>
      <c r="Q149" s="62"/>
      <c r="R149" s="62"/>
      <c r="S149" s="62"/>
      <c r="T149" s="62"/>
      <c r="U149" s="123"/>
      <c r="V149" s="118"/>
      <c r="W149" s="123"/>
      <c r="X149" s="118"/>
      <c r="Y149" s="124"/>
      <c r="Z149" s="118"/>
      <c r="AA149" s="124"/>
      <c r="AB149" s="121"/>
      <c r="AC149" s="121"/>
      <c r="AD149" s="118"/>
    </row>
    <row r="150" spans="1:30" ht="12.5">
      <c r="A150" s="71"/>
      <c r="B150" s="71"/>
      <c r="C150" s="73"/>
      <c r="D150" s="62"/>
      <c r="E150" s="62"/>
      <c r="F150" s="62"/>
      <c r="G150" s="62"/>
      <c r="H150" s="62"/>
      <c r="I150" s="62"/>
      <c r="J150" s="62"/>
      <c r="K150" s="124"/>
      <c r="L150" s="121"/>
      <c r="M150" s="121"/>
      <c r="N150" s="121"/>
      <c r="O150" s="62"/>
      <c r="P150" s="62"/>
      <c r="Q150" s="62"/>
      <c r="R150" s="62"/>
      <c r="S150" s="62"/>
      <c r="T150" s="62"/>
      <c r="U150" s="123"/>
      <c r="V150" s="118"/>
      <c r="W150" s="123"/>
      <c r="X150" s="118"/>
      <c r="Y150" s="124"/>
      <c r="Z150" s="118"/>
      <c r="AA150" s="124"/>
      <c r="AB150" s="121"/>
      <c r="AC150" s="121"/>
      <c r="AD150" s="118"/>
    </row>
    <row r="151" spans="1:30" ht="12.5">
      <c r="A151" s="71"/>
      <c r="B151" s="71"/>
      <c r="C151" s="73"/>
      <c r="D151" s="62"/>
      <c r="E151" s="62"/>
      <c r="F151" s="62"/>
      <c r="G151" s="62"/>
      <c r="H151" s="62"/>
      <c r="I151" s="62"/>
      <c r="J151" s="62"/>
      <c r="K151" s="124"/>
      <c r="L151" s="121"/>
      <c r="M151" s="121"/>
      <c r="N151" s="121"/>
      <c r="O151" s="62"/>
      <c r="P151" s="62"/>
      <c r="Q151" s="62"/>
      <c r="R151" s="62"/>
      <c r="S151" s="62"/>
      <c r="T151" s="62"/>
      <c r="U151" s="123"/>
      <c r="V151" s="118"/>
      <c r="W151" s="123"/>
      <c r="X151" s="118"/>
      <c r="Y151" s="124"/>
      <c r="Z151" s="118"/>
      <c r="AA151" s="124"/>
      <c r="AB151" s="121"/>
      <c r="AC151" s="121"/>
      <c r="AD151" s="118"/>
    </row>
    <row r="152" spans="1:30" ht="12.5">
      <c r="A152" s="71"/>
      <c r="B152" s="71"/>
      <c r="C152" s="73"/>
      <c r="D152" s="62"/>
      <c r="E152" s="62"/>
      <c r="F152" s="62"/>
      <c r="G152" s="62"/>
      <c r="H152" s="62"/>
      <c r="I152" s="62"/>
      <c r="J152" s="62"/>
      <c r="K152" s="124"/>
      <c r="L152" s="121"/>
      <c r="M152" s="121"/>
      <c r="N152" s="121"/>
      <c r="O152" s="62"/>
      <c r="P152" s="62"/>
      <c r="Q152" s="62"/>
      <c r="R152" s="62"/>
      <c r="S152" s="62"/>
      <c r="T152" s="62"/>
      <c r="U152" s="123"/>
      <c r="V152" s="118"/>
      <c r="W152" s="123"/>
      <c r="X152" s="118"/>
      <c r="Y152" s="124"/>
      <c r="Z152" s="118"/>
      <c r="AA152" s="124"/>
      <c r="AB152" s="121"/>
      <c r="AC152" s="121"/>
      <c r="AD152" s="118"/>
    </row>
    <row r="153" spans="1:30" ht="12.5">
      <c r="A153" s="71"/>
      <c r="B153" s="71"/>
      <c r="C153" s="73"/>
      <c r="D153" s="62"/>
      <c r="E153" s="62"/>
      <c r="F153" s="62"/>
      <c r="G153" s="62"/>
      <c r="H153" s="62"/>
      <c r="I153" s="62"/>
      <c r="J153" s="62"/>
      <c r="K153" s="124"/>
      <c r="L153" s="121"/>
      <c r="M153" s="121"/>
      <c r="N153" s="121"/>
      <c r="O153" s="62"/>
      <c r="P153" s="62"/>
      <c r="Q153" s="62"/>
      <c r="R153" s="62"/>
      <c r="S153" s="62"/>
      <c r="T153" s="62"/>
      <c r="U153" s="123"/>
      <c r="V153" s="118"/>
      <c r="W153" s="123"/>
      <c r="X153" s="118"/>
      <c r="Y153" s="124"/>
      <c r="Z153" s="118"/>
      <c r="AA153" s="124"/>
      <c r="AB153" s="121"/>
      <c r="AC153" s="121"/>
      <c r="AD153" s="118"/>
    </row>
    <row r="154" spans="1:30" ht="12.5">
      <c r="A154" s="71"/>
      <c r="B154" s="71"/>
      <c r="C154" s="73"/>
      <c r="D154" s="62"/>
      <c r="E154" s="62"/>
      <c r="F154" s="62"/>
      <c r="G154" s="62"/>
      <c r="H154" s="62"/>
      <c r="I154" s="62"/>
      <c r="J154" s="62"/>
      <c r="K154" s="124"/>
      <c r="L154" s="121"/>
      <c r="M154" s="121"/>
      <c r="N154" s="121"/>
      <c r="O154" s="62"/>
      <c r="P154" s="62"/>
      <c r="Q154" s="62"/>
      <c r="R154" s="62"/>
      <c r="S154" s="62"/>
      <c r="T154" s="62"/>
      <c r="U154" s="123"/>
      <c r="V154" s="118"/>
      <c r="W154" s="123"/>
      <c r="X154" s="118"/>
      <c r="Y154" s="124"/>
      <c r="Z154" s="118"/>
      <c r="AA154" s="124"/>
      <c r="AB154" s="121"/>
      <c r="AC154" s="121"/>
      <c r="AD154" s="118"/>
    </row>
    <row r="155" spans="1:30" ht="12.5">
      <c r="A155" s="71"/>
      <c r="B155" s="71"/>
      <c r="C155" s="73"/>
      <c r="D155" s="62"/>
      <c r="E155" s="62"/>
      <c r="F155" s="62"/>
      <c r="G155" s="62"/>
      <c r="H155" s="62"/>
      <c r="I155" s="62"/>
      <c r="J155" s="62"/>
      <c r="K155" s="124"/>
      <c r="L155" s="121"/>
      <c r="M155" s="121"/>
      <c r="N155" s="121"/>
      <c r="O155" s="62"/>
      <c r="P155" s="62"/>
      <c r="Q155" s="62"/>
      <c r="R155" s="62"/>
      <c r="S155" s="62"/>
      <c r="T155" s="62"/>
      <c r="U155" s="123"/>
      <c r="V155" s="118"/>
      <c r="W155" s="123"/>
      <c r="X155" s="118"/>
      <c r="Y155" s="124"/>
      <c r="Z155" s="118"/>
      <c r="AA155" s="124"/>
      <c r="AB155" s="121"/>
      <c r="AC155" s="121"/>
      <c r="AD155" s="118"/>
    </row>
    <row r="156" spans="1:30" ht="12.5">
      <c r="A156" s="71"/>
      <c r="B156" s="71"/>
      <c r="C156" s="73"/>
      <c r="D156" s="62"/>
      <c r="E156" s="62"/>
      <c r="F156" s="62"/>
      <c r="G156" s="62"/>
      <c r="H156" s="62"/>
      <c r="I156" s="62"/>
      <c r="J156" s="62"/>
      <c r="K156" s="124"/>
      <c r="L156" s="121"/>
      <c r="M156" s="121"/>
      <c r="N156" s="121"/>
      <c r="O156" s="62"/>
      <c r="P156" s="62"/>
      <c r="Q156" s="62"/>
      <c r="R156" s="62"/>
      <c r="S156" s="62"/>
      <c r="T156" s="62"/>
      <c r="U156" s="123"/>
      <c r="V156" s="118"/>
      <c r="W156" s="123"/>
      <c r="X156" s="118"/>
      <c r="Y156" s="124"/>
      <c r="Z156" s="118"/>
      <c r="AA156" s="124"/>
      <c r="AB156" s="121"/>
      <c r="AC156" s="121"/>
      <c r="AD156" s="118"/>
    </row>
    <row r="157" spans="1:30" ht="12.5">
      <c r="A157" s="71"/>
      <c r="B157" s="71"/>
      <c r="C157" s="73"/>
      <c r="D157" s="62"/>
      <c r="E157" s="62"/>
      <c r="F157" s="62"/>
      <c r="G157" s="62"/>
      <c r="H157" s="62"/>
      <c r="I157" s="62"/>
      <c r="J157" s="7"/>
      <c r="K157" s="124"/>
      <c r="L157" s="121"/>
      <c r="M157" s="121"/>
      <c r="N157" s="121"/>
      <c r="O157" s="62"/>
      <c r="P157" s="62"/>
      <c r="Q157" s="62"/>
      <c r="R157" s="62"/>
      <c r="S157" s="62"/>
      <c r="T157" s="62"/>
      <c r="U157" s="123"/>
      <c r="V157" s="118"/>
      <c r="W157" s="123"/>
      <c r="X157" s="118"/>
      <c r="Y157" s="124"/>
      <c r="Z157" s="118"/>
      <c r="AA157" s="124"/>
      <c r="AB157" s="121"/>
      <c r="AC157" s="121"/>
      <c r="AD157" s="118"/>
    </row>
    <row r="158" spans="1:30" ht="12.5">
      <c r="A158" s="71"/>
      <c r="B158" s="71"/>
      <c r="C158" s="61"/>
      <c r="D158" s="62"/>
      <c r="E158" s="62"/>
      <c r="F158" s="62"/>
      <c r="G158" s="62"/>
      <c r="H158" s="62"/>
      <c r="I158" s="62"/>
      <c r="J158" s="7"/>
      <c r="K158" s="124"/>
      <c r="L158" s="121"/>
      <c r="M158" s="121"/>
      <c r="N158" s="121"/>
      <c r="O158" s="62"/>
      <c r="P158" s="62"/>
      <c r="Q158" s="62"/>
      <c r="R158" s="62"/>
      <c r="S158" s="62"/>
      <c r="T158" s="62"/>
      <c r="U158" s="123"/>
      <c r="V158" s="118"/>
      <c r="W158" s="123"/>
      <c r="X158" s="118"/>
      <c r="Y158" s="124"/>
      <c r="Z158" s="118"/>
      <c r="AA158" s="124"/>
      <c r="AB158" s="121"/>
      <c r="AC158" s="121"/>
      <c r="AD158" s="118"/>
    </row>
    <row r="159" spans="1:30" ht="12.5">
      <c r="A159" s="71"/>
      <c r="B159" s="71"/>
      <c r="C159" s="61"/>
      <c r="D159" s="62"/>
      <c r="E159" s="62"/>
      <c r="F159" s="62"/>
      <c r="G159" s="62"/>
      <c r="H159" s="62"/>
      <c r="I159" s="62"/>
      <c r="J159" s="7"/>
      <c r="K159" s="124"/>
      <c r="L159" s="121"/>
      <c r="M159" s="121"/>
      <c r="N159" s="121"/>
      <c r="O159" s="62"/>
      <c r="P159" s="62"/>
      <c r="Q159" s="62"/>
      <c r="R159" s="62"/>
      <c r="S159" s="62"/>
      <c r="T159" s="62"/>
      <c r="U159" s="123"/>
      <c r="V159" s="118"/>
      <c r="W159" s="123"/>
      <c r="X159" s="118"/>
      <c r="Y159" s="124"/>
      <c r="Z159" s="118"/>
      <c r="AA159" s="124"/>
      <c r="AB159" s="121"/>
      <c r="AC159" s="121"/>
      <c r="AD159" s="118"/>
    </row>
    <row r="160" spans="1:30" ht="12.5">
      <c r="A160" s="71"/>
      <c r="B160" s="71"/>
      <c r="C160" s="61"/>
      <c r="D160" s="62"/>
      <c r="E160" s="62"/>
      <c r="F160" s="62"/>
      <c r="G160" s="62"/>
      <c r="H160" s="62"/>
      <c r="I160" s="62"/>
      <c r="J160" s="7"/>
      <c r="K160" s="124"/>
      <c r="L160" s="121"/>
      <c r="M160" s="121"/>
      <c r="N160" s="121"/>
      <c r="O160" s="62"/>
      <c r="P160" s="62"/>
      <c r="Q160" s="62"/>
      <c r="R160" s="62"/>
      <c r="S160" s="62"/>
      <c r="T160" s="62"/>
      <c r="U160" s="123"/>
      <c r="V160" s="118"/>
      <c r="W160" s="123"/>
      <c r="X160" s="118"/>
      <c r="Y160" s="124"/>
      <c r="Z160" s="118"/>
      <c r="AA160" s="124"/>
      <c r="AB160" s="121"/>
      <c r="AC160" s="121"/>
      <c r="AD160" s="118"/>
    </row>
    <row r="161" spans="1:30" ht="12.5">
      <c r="A161" s="71"/>
      <c r="B161" s="71"/>
      <c r="C161" s="61"/>
      <c r="D161" s="62"/>
      <c r="E161" s="62"/>
      <c r="F161" s="62"/>
      <c r="G161" s="62"/>
      <c r="H161" s="62"/>
      <c r="I161" s="62"/>
      <c r="J161" s="7"/>
      <c r="K161" s="124"/>
      <c r="L161" s="121"/>
      <c r="M161" s="121"/>
      <c r="N161" s="121"/>
      <c r="O161" s="62"/>
      <c r="P161" s="62"/>
      <c r="Q161" s="62"/>
      <c r="R161" s="62"/>
      <c r="S161" s="62"/>
      <c r="T161" s="62"/>
      <c r="U161" s="123"/>
      <c r="V161" s="118"/>
      <c r="W161" s="123"/>
      <c r="X161" s="118"/>
      <c r="Y161" s="124"/>
      <c r="Z161" s="118"/>
      <c r="AA161" s="124"/>
      <c r="AB161" s="121"/>
      <c r="AC161" s="121"/>
      <c r="AD161" s="118"/>
    </row>
    <row r="162" spans="1:30" ht="12.5">
      <c r="A162" s="71"/>
      <c r="B162" s="71"/>
      <c r="C162" s="61"/>
      <c r="D162" s="62"/>
      <c r="E162" s="62"/>
      <c r="F162" s="62"/>
      <c r="G162" s="62"/>
      <c r="H162" s="62"/>
      <c r="I162" s="62"/>
      <c r="J162" s="7"/>
      <c r="K162" s="124"/>
      <c r="L162" s="121"/>
      <c r="M162" s="121"/>
      <c r="N162" s="121"/>
      <c r="O162" s="62"/>
      <c r="P162" s="62"/>
      <c r="Q162" s="62"/>
      <c r="R162" s="62"/>
      <c r="S162" s="62"/>
      <c r="T162" s="62"/>
      <c r="U162" s="123"/>
      <c r="V162" s="118"/>
      <c r="W162" s="123"/>
      <c r="X162" s="118"/>
      <c r="Y162" s="124"/>
      <c r="Z162" s="118"/>
      <c r="AA162" s="124"/>
      <c r="AB162" s="121"/>
      <c r="AC162" s="121"/>
      <c r="AD162" s="118"/>
    </row>
    <row r="163" spans="1:30" ht="12.5">
      <c r="A163" s="71"/>
      <c r="B163" s="71"/>
      <c r="C163" s="61"/>
      <c r="D163" s="62"/>
      <c r="E163" s="62"/>
      <c r="F163" s="62"/>
      <c r="G163" s="62"/>
      <c r="H163" s="62"/>
      <c r="I163" s="62"/>
      <c r="J163" s="7"/>
      <c r="K163" s="124"/>
      <c r="L163" s="121"/>
      <c r="M163" s="121"/>
      <c r="N163" s="121"/>
      <c r="O163" s="62"/>
      <c r="P163" s="62"/>
      <c r="Q163" s="62"/>
      <c r="R163" s="62"/>
      <c r="S163" s="62"/>
      <c r="T163" s="62"/>
      <c r="U163" s="123"/>
      <c r="V163" s="118"/>
      <c r="W163" s="123"/>
      <c r="X163" s="118"/>
      <c r="Y163" s="124"/>
      <c r="Z163" s="118"/>
      <c r="AA163" s="124"/>
      <c r="AB163" s="121"/>
      <c r="AC163" s="121"/>
      <c r="AD163" s="118"/>
    </row>
    <row r="164" spans="1:30" ht="12.5">
      <c r="A164" s="8" t="s">
        <v>165</v>
      </c>
      <c r="B164" s="71"/>
      <c r="C164" s="39"/>
      <c r="D164" s="62"/>
      <c r="E164" s="62"/>
      <c r="F164" s="62"/>
      <c r="G164" s="62"/>
      <c r="H164" s="62"/>
      <c r="I164" s="62"/>
      <c r="J164" s="7"/>
      <c r="K164" s="124"/>
      <c r="L164" s="121"/>
      <c r="M164" s="121"/>
      <c r="N164" s="121"/>
      <c r="O164" s="62"/>
      <c r="P164" s="62"/>
      <c r="Q164" s="62"/>
      <c r="R164" s="62"/>
      <c r="S164" s="62"/>
      <c r="T164" s="62"/>
      <c r="U164" s="123"/>
      <c r="V164" s="118"/>
      <c r="W164" s="123"/>
      <c r="X164" s="118"/>
      <c r="Y164" s="124"/>
      <c r="Z164" s="118"/>
      <c r="AA164" s="124"/>
      <c r="AB164" s="121"/>
      <c r="AC164" s="121"/>
      <c r="AD164" s="118"/>
    </row>
    <row r="165" spans="1:30" ht="12.5">
      <c r="A165" s="71"/>
      <c r="B165" s="71"/>
      <c r="C165" s="39"/>
      <c r="D165" s="62"/>
      <c r="E165" s="62"/>
      <c r="F165" s="62"/>
      <c r="G165" s="62"/>
      <c r="H165" s="62"/>
      <c r="I165" s="62"/>
      <c r="J165" s="62"/>
      <c r="K165" s="124"/>
      <c r="L165" s="121"/>
      <c r="M165" s="121"/>
      <c r="N165" s="121"/>
      <c r="O165" s="62"/>
      <c r="P165" s="62"/>
      <c r="Q165" s="62"/>
      <c r="R165" s="62"/>
      <c r="S165" s="62"/>
      <c r="T165" s="62"/>
      <c r="U165" s="123"/>
      <c r="V165" s="118"/>
      <c r="W165" s="123"/>
      <c r="X165" s="118"/>
      <c r="Y165" s="124"/>
      <c r="Z165" s="118"/>
      <c r="AA165" s="124"/>
      <c r="AB165" s="121"/>
      <c r="AC165" s="121"/>
      <c r="AD165" s="118"/>
    </row>
    <row r="166" spans="1:30" ht="12.5">
      <c r="A166" s="71"/>
      <c r="B166" s="71"/>
      <c r="C166" s="39"/>
      <c r="D166" s="62"/>
      <c r="E166" s="62"/>
      <c r="F166" s="62"/>
      <c r="G166" s="62"/>
      <c r="H166" s="62"/>
      <c r="I166" s="62"/>
      <c r="J166" s="62"/>
      <c r="K166" s="124"/>
      <c r="L166" s="121"/>
      <c r="M166" s="121"/>
      <c r="N166" s="121"/>
      <c r="O166" s="62"/>
      <c r="P166" s="62"/>
      <c r="Q166" s="62"/>
      <c r="R166" s="62"/>
      <c r="S166" s="62"/>
      <c r="T166" s="62"/>
      <c r="U166" s="123"/>
      <c r="V166" s="118"/>
      <c r="W166" s="123"/>
      <c r="X166" s="118"/>
      <c r="Y166" s="124"/>
      <c r="Z166" s="118"/>
      <c r="AA166" s="124"/>
      <c r="AB166" s="121"/>
      <c r="AC166" s="121"/>
      <c r="AD166" s="118"/>
    </row>
    <row r="167" spans="1:30" ht="12.5">
      <c r="A167" s="8" t="s">
        <v>165</v>
      </c>
      <c r="B167" s="71"/>
      <c r="C167" s="39"/>
      <c r="D167" s="62"/>
      <c r="E167" s="62"/>
      <c r="F167" s="62"/>
      <c r="G167" s="62"/>
      <c r="H167" s="62"/>
      <c r="I167" s="62"/>
      <c r="J167" s="7"/>
      <c r="K167" s="124"/>
      <c r="L167" s="121"/>
      <c r="M167" s="121"/>
      <c r="N167" s="121"/>
      <c r="O167" s="62"/>
      <c r="P167" s="62"/>
      <c r="Q167" s="62"/>
      <c r="R167" s="62"/>
      <c r="S167" s="62"/>
      <c r="T167" s="62"/>
      <c r="U167" s="123"/>
      <c r="V167" s="118"/>
      <c r="W167" s="123"/>
      <c r="X167" s="118"/>
      <c r="Y167" s="124"/>
      <c r="Z167" s="118"/>
      <c r="AA167" s="124"/>
      <c r="AB167" s="121"/>
      <c r="AC167" s="121"/>
      <c r="AD167" s="118"/>
    </row>
    <row r="168" spans="1:30" ht="12.5">
      <c r="A168" s="75" t="s">
        <v>165</v>
      </c>
      <c r="B168" s="76"/>
      <c r="C168" s="77"/>
      <c r="D168" s="77"/>
      <c r="E168" s="77"/>
      <c r="F168" s="77"/>
      <c r="G168" s="77"/>
      <c r="H168" s="77"/>
      <c r="I168" s="77"/>
      <c r="J168" s="17"/>
      <c r="K168" s="128"/>
      <c r="L168" s="129"/>
      <c r="M168" s="129"/>
      <c r="N168" s="129"/>
      <c r="O168" s="77"/>
      <c r="P168" s="77"/>
      <c r="Q168" s="77"/>
      <c r="R168" s="77"/>
      <c r="S168" s="77"/>
      <c r="T168" s="77"/>
      <c r="U168" s="126"/>
      <c r="V168" s="127"/>
      <c r="W168" s="126"/>
      <c r="X168" s="127"/>
      <c r="Y168" s="128"/>
      <c r="Z168" s="127"/>
      <c r="AA168" s="128"/>
      <c r="AB168" s="129"/>
      <c r="AC168" s="129"/>
      <c r="AD168" s="127"/>
    </row>
  </sheetData>
  <mergeCells count="795">
    <mergeCell ref="U132:V132"/>
    <mergeCell ref="W132:X132"/>
    <mergeCell ref="Y132:Z132"/>
    <mergeCell ref="AA132:AD132"/>
    <mergeCell ref="W133:X133"/>
    <mergeCell ref="Y133:Z133"/>
    <mergeCell ref="AA133:AD133"/>
    <mergeCell ref="Y135:Z135"/>
    <mergeCell ref="AA135:AD135"/>
    <mergeCell ref="AA124:AD124"/>
    <mergeCell ref="AA125:AD125"/>
    <mergeCell ref="Y131:Z131"/>
    <mergeCell ref="AA131:AD131"/>
    <mergeCell ref="U125:V125"/>
    <mergeCell ref="U130:V130"/>
    <mergeCell ref="W130:X130"/>
    <mergeCell ref="Y130:Z130"/>
    <mergeCell ref="AA130:AD130"/>
    <mergeCell ref="U131:V131"/>
    <mergeCell ref="W131:X131"/>
    <mergeCell ref="U135:V135"/>
    <mergeCell ref="W135:X135"/>
    <mergeCell ref="U136:V136"/>
    <mergeCell ref="W136:X136"/>
    <mergeCell ref="Y136:Z136"/>
    <mergeCell ref="AA136:AD136"/>
    <mergeCell ref="W137:X137"/>
    <mergeCell ref="Y137:Z137"/>
    <mergeCell ref="AA137:AD137"/>
    <mergeCell ref="U96:V96"/>
    <mergeCell ref="W96:X96"/>
    <mergeCell ref="Y96:Z96"/>
    <mergeCell ref="AA96:AD96"/>
    <mergeCell ref="U97:V97"/>
    <mergeCell ref="AA97:AD97"/>
    <mergeCell ref="U133:V133"/>
    <mergeCell ref="U134:V134"/>
    <mergeCell ref="W134:X134"/>
    <mergeCell ref="Y134:Z134"/>
    <mergeCell ref="AA134:AD134"/>
    <mergeCell ref="Y121:Z121"/>
    <mergeCell ref="AA121:AD121"/>
    <mergeCell ref="U122:V122"/>
    <mergeCell ref="W122:X122"/>
    <mergeCell ref="Y122:Z122"/>
    <mergeCell ref="AA122:AD122"/>
    <mergeCell ref="U123:V123"/>
    <mergeCell ref="AA123:AD123"/>
    <mergeCell ref="W123:X123"/>
    <mergeCell ref="Y123:Z123"/>
    <mergeCell ref="U124:V124"/>
    <mergeCell ref="W124:X124"/>
    <mergeCell ref="Y124:Z124"/>
    <mergeCell ref="K58:N58"/>
    <mergeCell ref="K59:N59"/>
    <mergeCell ref="K60:N60"/>
    <mergeCell ref="K61:N61"/>
    <mergeCell ref="W93:X93"/>
    <mergeCell ref="Y93:Z93"/>
    <mergeCell ref="U94:V94"/>
    <mergeCell ref="W94:X94"/>
    <mergeCell ref="Y94:Z94"/>
    <mergeCell ref="K49:N49"/>
    <mergeCell ref="K50:N50"/>
    <mergeCell ref="K51:N51"/>
    <mergeCell ref="K52:N52"/>
    <mergeCell ref="K53:N53"/>
    <mergeCell ref="K54:N54"/>
    <mergeCell ref="K55:N55"/>
    <mergeCell ref="K56:N56"/>
    <mergeCell ref="K57:N57"/>
    <mergeCell ref="K40:N40"/>
    <mergeCell ref="K41:N41"/>
    <mergeCell ref="K42:N42"/>
    <mergeCell ref="K43:N43"/>
    <mergeCell ref="K44:N44"/>
    <mergeCell ref="K45:N45"/>
    <mergeCell ref="K46:N46"/>
    <mergeCell ref="K47:N47"/>
    <mergeCell ref="K48:N48"/>
    <mergeCell ref="K31:N31"/>
    <mergeCell ref="K32:N32"/>
    <mergeCell ref="K33:N33"/>
    <mergeCell ref="K34:N34"/>
    <mergeCell ref="K35:N35"/>
    <mergeCell ref="K36:N36"/>
    <mergeCell ref="K37:N37"/>
    <mergeCell ref="K38:N38"/>
    <mergeCell ref="K39:N39"/>
    <mergeCell ref="U37:V37"/>
    <mergeCell ref="W37:X37"/>
    <mergeCell ref="Y37:Z37"/>
    <mergeCell ref="AA37:AD37"/>
    <mergeCell ref="U38:V38"/>
    <mergeCell ref="AA38:AD38"/>
    <mergeCell ref="K13:N13"/>
    <mergeCell ref="K14:N14"/>
    <mergeCell ref="K15:N15"/>
    <mergeCell ref="K16:N16"/>
    <mergeCell ref="K17:N17"/>
    <mergeCell ref="K18:N18"/>
    <mergeCell ref="K19:N19"/>
    <mergeCell ref="K20:N20"/>
    <mergeCell ref="K21:N21"/>
    <mergeCell ref="K22:N22"/>
    <mergeCell ref="K23:N23"/>
    <mergeCell ref="K24:N24"/>
    <mergeCell ref="K25:N25"/>
    <mergeCell ref="K26:N26"/>
    <mergeCell ref="K27:N27"/>
    <mergeCell ref="K28:N28"/>
    <mergeCell ref="K29:N29"/>
    <mergeCell ref="K30:N30"/>
    <mergeCell ref="U34:V34"/>
    <mergeCell ref="W34:X34"/>
    <mergeCell ref="Y34:Z34"/>
    <mergeCell ref="AA34:AD34"/>
    <mergeCell ref="U35:V35"/>
    <mergeCell ref="W35:X35"/>
    <mergeCell ref="Y35:Z35"/>
    <mergeCell ref="AA35:AD35"/>
    <mergeCell ref="U36:V36"/>
    <mergeCell ref="AA36:AD36"/>
    <mergeCell ref="W36:X36"/>
    <mergeCell ref="Y36:Z36"/>
    <mergeCell ref="AA31:AD31"/>
    <mergeCell ref="W32:X32"/>
    <mergeCell ref="Y32:Z32"/>
    <mergeCell ref="AA32:AD32"/>
    <mergeCell ref="U32:V32"/>
    <mergeCell ref="U33:V33"/>
    <mergeCell ref="W33:X33"/>
    <mergeCell ref="Y33:Z33"/>
    <mergeCell ref="AA33:AD33"/>
    <mergeCell ref="U27:V27"/>
    <mergeCell ref="W27:X27"/>
    <mergeCell ref="Y27:Z27"/>
    <mergeCell ref="AA27:AD27"/>
    <mergeCell ref="W28:X28"/>
    <mergeCell ref="Y28:Z28"/>
    <mergeCell ref="AA28:AD28"/>
    <mergeCell ref="U28:V28"/>
    <mergeCell ref="U29:V29"/>
    <mergeCell ref="W29:X29"/>
    <mergeCell ref="Y29:Z29"/>
    <mergeCell ref="AA29:AD29"/>
    <mergeCell ref="U17:V17"/>
    <mergeCell ref="W17:X17"/>
    <mergeCell ref="W11:X11"/>
    <mergeCell ref="Y11:Z11"/>
    <mergeCell ref="AA11:AD11"/>
    <mergeCell ref="Y13:Z13"/>
    <mergeCell ref="AA13:AD13"/>
    <mergeCell ref="B3:B4"/>
    <mergeCell ref="C3:D4"/>
    <mergeCell ref="B5:B6"/>
    <mergeCell ref="C5:D6"/>
    <mergeCell ref="Q10:T10"/>
    <mergeCell ref="K11:N11"/>
    <mergeCell ref="K12:N12"/>
    <mergeCell ref="U11:V11"/>
    <mergeCell ref="U12:V12"/>
    <mergeCell ref="W12:X12"/>
    <mergeCell ref="Y12:Z12"/>
    <mergeCell ref="AA12:AD12"/>
    <mergeCell ref="U13:V13"/>
    <mergeCell ref="W13:X13"/>
    <mergeCell ref="Y17:Z17"/>
    <mergeCell ref="AA17:AD17"/>
    <mergeCell ref="U14:V14"/>
    <mergeCell ref="W14:X14"/>
    <mergeCell ref="Y14:Z14"/>
    <mergeCell ref="AA14:AD14"/>
    <mergeCell ref="W15:X15"/>
    <mergeCell ref="Y15:Z15"/>
    <mergeCell ref="AA15:AD15"/>
    <mergeCell ref="U15:V15"/>
    <mergeCell ref="U16:V16"/>
    <mergeCell ref="W16:X16"/>
    <mergeCell ref="Y16:Z16"/>
    <mergeCell ref="AA16:AD16"/>
    <mergeCell ref="W87:X87"/>
    <mergeCell ref="Y87:Z87"/>
    <mergeCell ref="Y85:Z85"/>
    <mergeCell ref="AA85:AD85"/>
    <mergeCell ref="U86:V86"/>
    <mergeCell ref="W86:X86"/>
    <mergeCell ref="Y86:Z86"/>
    <mergeCell ref="AA86:AD86"/>
    <mergeCell ref="U87:V87"/>
    <mergeCell ref="AA87:AD87"/>
    <mergeCell ref="AA84:AD84"/>
    <mergeCell ref="U85:V85"/>
    <mergeCell ref="W85:X85"/>
    <mergeCell ref="K62:N62"/>
    <mergeCell ref="K63:N63"/>
    <mergeCell ref="K64:N64"/>
    <mergeCell ref="K65:N65"/>
    <mergeCell ref="K66:N66"/>
    <mergeCell ref="K67:N67"/>
    <mergeCell ref="K68:N68"/>
    <mergeCell ref="K76:N76"/>
    <mergeCell ref="K77:N77"/>
    <mergeCell ref="K78:N78"/>
    <mergeCell ref="K79:N79"/>
    <mergeCell ref="W79:X79"/>
    <mergeCell ref="Y79:Z79"/>
    <mergeCell ref="AA79:AD79"/>
    <mergeCell ref="K69:N69"/>
    <mergeCell ref="K70:N70"/>
    <mergeCell ref="K71:N71"/>
    <mergeCell ref="K72:N72"/>
    <mergeCell ref="K73:N73"/>
    <mergeCell ref="K74:N74"/>
    <mergeCell ref="K75:N75"/>
    <mergeCell ref="Y77:Z77"/>
    <mergeCell ref="AA77:AD77"/>
    <mergeCell ref="U78:V78"/>
    <mergeCell ref="W78:X78"/>
    <mergeCell ref="Y78:Z78"/>
    <mergeCell ref="AA78:AD78"/>
    <mergeCell ref="U82:V82"/>
    <mergeCell ref="W82:X82"/>
    <mergeCell ref="Y82:Z82"/>
    <mergeCell ref="AA82:AD82"/>
    <mergeCell ref="Y81:Z81"/>
    <mergeCell ref="AA81:AD81"/>
    <mergeCell ref="U79:V79"/>
    <mergeCell ref="U80:V80"/>
    <mergeCell ref="W80:X80"/>
    <mergeCell ref="Y80:Z80"/>
    <mergeCell ref="AA80:AD80"/>
    <mergeCell ref="U81:V81"/>
    <mergeCell ref="W81:X81"/>
    <mergeCell ref="U76:V76"/>
    <mergeCell ref="W76:X76"/>
    <mergeCell ref="Y76:Z76"/>
    <mergeCell ref="AA76:AD76"/>
    <mergeCell ref="U77:V77"/>
    <mergeCell ref="W77:X77"/>
    <mergeCell ref="U62:V62"/>
    <mergeCell ref="W62:X62"/>
    <mergeCell ref="Y62:Z62"/>
    <mergeCell ref="AA62:AD62"/>
    <mergeCell ref="W63:X63"/>
    <mergeCell ref="Y63:Z63"/>
    <mergeCell ref="AA63:AD63"/>
    <mergeCell ref="U63:V63"/>
    <mergeCell ref="U64:V64"/>
    <mergeCell ref="W64:X64"/>
    <mergeCell ref="Y64:Z64"/>
    <mergeCell ref="AA64:AD64"/>
    <mergeCell ref="U65:V65"/>
    <mergeCell ref="W65:X65"/>
    <mergeCell ref="U70:V70"/>
    <mergeCell ref="W70:X70"/>
    <mergeCell ref="Y70:Z70"/>
    <mergeCell ref="AA70:AD70"/>
    <mergeCell ref="Y65:Z65"/>
    <mergeCell ref="AA65:AD65"/>
    <mergeCell ref="Y69:Z69"/>
    <mergeCell ref="AA69:AD69"/>
    <mergeCell ref="U74:V74"/>
    <mergeCell ref="W74:X74"/>
    <mergeCell ref="Y74:Z74"/>
    <mergeCell ref="AA74:AD74"/>
    <mergeCell ref="W75:X75"/>
    <mergeCell ref="Y75:Z75"/>
    <mergeCell ref="AA75:AD75"/>
    <mergeCell ref="U75:V75"/>
    <mergeCell ref="W71:X71"/>
    <mergeCell ref="Y71:Z71"/>
    <mergeCell ref="AA71:AD71"/>
    <mergeCell ref="Y73:Z73"/>
    <mergeCell ref="AA73:AD73"/>
    <mergeCell ref="U71:V71"/>
    <mergeCell ref="U72:V72"/>
    <mergeCell ref="W72:X72"/>
    <mergeCell ref="Y72:Z72"/>
    <mergeCell ref="AA72:AD72"/>
    <mergeCell ref="U73:V73"/>
    <mergeCell ref="W73:X73"/>
    <mergeCell ref="Y59:Z59"/>
    <mergeCell ref="AA59:AD59"/>
    <mergeCell ref="Y61:Z61"/>
    <mergeCell ref="AA61:AD61"/>
    <mergeCell ref="U59:V59"/>
    <mergeCell ref="U60:V60"/>
    <mergeCell ref="W60:X60"/>
    <mergeCell ref="Y60:Z60"/>
    <mergeCell ref="AA60:AD60"/>
    <mergeCell ref="U61:V61"/>
    <mergeCell ref="W61:X61"/>
    <mergeCell ref="W67:X67"/>
    <mergeCell ref="Y67:Z67"/>
    <mergeCell ref="AA67:AD67"/>
    <mergeCell ref="U67:V67"/>
    <mergeCell ref="U68:V68"/>
    <mergeCell ref="W68:X68"/>
    <mergeCell ref="Y68:Z68"/>
    <mergeCell ref="AA68:AD68"/>
    <mergeCell ref="U69:V69"/>
    <mergeCell ref="W69:X69"/>
    <mergeCell ref="Y52:Z52"/>
    <mergeCell ref="AA52:AD52"/>
    <mergeCell ref="U57:V57"/>
    <mergeCell ref="W57:X57"/>
    <mergeCell ref="Y57:Z57"/>
    <mergeCell ref="AA57:AD57"/>
    <mergeCell ref="U66:V66"/>
    <mergeCell ref="W66:X66"/>
    <mergeCell ref="Y66:Z66"/>
    <mergeCell ref="AA66:AD66"/>
    <mergeCell ref="Y56:Z56"/>
    <mergeCell ref="AA56:AD56"/>
    <mergeCell ref="U54:V54"/>
    <mergeCell ref="U55:V55"/>
    <mergeCell ref="W55:X55"/>
    <mergeCell ref="Y55:Z55"/>
    <mergeCell ref="AA55:AD55"/>
    <mergeCell ref="U56:V56"/>
    <mergeCell ref="W56:X56"/>
    <mergeCell ref="U58:V58"/>
    <mergeCell ref="W58:X58"/>
    <mergeCell ref="Y58:Z58"/>
    <mergeCell ref="AA58:AD58"/>
    <mergeCell ref="W59:X59"/>
    <mergeCell ref="W54:X54"/>
    <mergeCell ref="Y54:Z54"/>
    <mergeCell ref="AA54:AD54"/>
    <mergeCell ref="W38:X38"/>
    <mergeCell ref="Y38:Z38"/>
    <mergeCell ref="U39:V39"/>
    <mergeCell ref="W39:X39"/>
    <mergeCell ref="Y39:Z39"/>
    <mergeCell ref="AA39:AD39"/>
    <mergeCell ref="U40:V40"/>
    <mergeCell ref="AA40:AD40"/>
    <mergeCell ref="W40:X40"/>
    <mergeCell ref="Y40:Z40"/>
    <mergeCell ref="U41:V41"/>
    <mergeCell ref="W41:X41"/>
    <mergeCell ref="Y41:Z41"/>
    <mergeCell ref="AA41:AD41"/>
    <mergeCell ref="AA42:AD42"/>
    <mergeCell ref="Y48:Z48"/>
    <mergeCell ref="AA48:AD48"/>
    <mergeCell ref="U42:V42"/>
    <mergeCell ref="U47:V47"/>
    <mergeCell ref="W47:X47"/>
    <mergeCell ref="Y47:Z47"/>
    <mergeCell ref="Y30:Z30"/>
    <mergeCell ref="AA30:AD30"/>
    <mergeCell ref="W46:X46"/>
    <mergeCell ref="Y46:Z46"/>
    <mergeCell ref="U50:V50"/>
    <mergeCell ref="U51:V51"/>
    <mergeCell ref="W51:X51"/>
    <mergeCell ref="Y51:Z51"/>
    <mergeCell ref="AA51:AD51"/>
    <mergeCell ref="AA47:AD47"/>
    <mergeCell ref="U48:V48"/>
    <mergeCell ref="W48:X48"/>
    <mergeCell ref="U49:V49"/>
    <mergeCell ref="W49:X49"/>
    <mergeCell ref="Y49:Z49"/>
    <mergeCell ref="AA49:AD49"/>
    <mergeCell ref="W50:X50"/>
    <mergeCell ref="Y50:Z50"/>
    <mergeCell ref="AA50:AD50"/>
    <mergeCell ref="U30:V30"/>
    <mergeCell ref="W30:X30"/>
    <mergeCell ref="U31:V31"/>
    <mergeCell ref="W31:X31"/>
    <mergeCell ref="Y31:Z31"/>
    <mergeCell ref="Y26:Z26"/>
    <mergeCell ref="AA26:AD26"/>
    <mergeCell ref="U24:V24"/>
    <mergeCell ref="U25:V25"/>
    <mergeCell ref="W25:X25"/>
    <mergeCell ref="Y25:Z25"/>
    <mergeCell ref="AA25:AD25"/>
    <mergeCell ref="U26:V26"/>
    <mergeCell ref="W26:X26"/>
    <mergeCell ref="U21:V21"/>
    <mergeCell ref="W21:X21"/>
    <mergeCell ref="U23:V23"/>
    <mergeCell ref="W23:X23"/>
    <mergeCell ref="Y23:Z23"/>
    <mergeCell ref="AA23:AD23"/>
    <mergeCell ref="W24:X24"/>
    <mergeCell ref="Y24:Z24"/>
    <mergeCell ref="AA24:AD24"/>
    <mergeCell ref="Y21:Z21"/>
    <mergeCell ref="AA21:AD21"/>
    <mergeCell ref="U22:V22"/>
    <mergeCell ref="W22:X22"/>
    <mergeCell ref="Y22:Z22"/>
    <mergeCell ref="AA22:AD22"/>
    <mergeCell ref="U18:V18"/>
    <mergeCell ref="W18:X18"/>
    <mergeCell ref="Y18:Z18"/>
    <mergeCell ref="AA18:AD18"/>
    <mergeCell ref="W19:X19"/>
    <mergeCell ref="Y19:Z19"/>
    <mergeCell ref="AA19:AD19"/>
    <mergeCell ref="U19:V19"/>
    <mergeCell ref="U20:V20"/>
    <mergeCell ref="W20:X20"/>
    <mergeCell ref="Y20:Z20"/>
    <mergeCell ref="AA20:AD20"/>
    <mergeCell ref="Y168:Z168"/>
    <mergeCell ref="AA168:AD168"/>
    <mergeCell ref="W42:X42"/>
    <mergeCell ref="Y42:Z42"/>
    <mergeCell ref="U43:V43"/>
    <mergeCell ref="W43:X43"/>
    <mergeCell ref="Y43:Z43"/>
    <mergeCell ref="AA43:AD43"/>
    <mergeCell ref="U44:V44"/>
    <mergeCell ref="AA44:AD44"/>
    <mergeCell ref="W44:X44"/>
    <mergeCell ref="Y44:Z44"/>
    <mergeCell ref="U45:V45"/>
    <mergeCell ref="W45:X45"/>
    <mergeCell ref="Y45:Z45"/>
    <mergeCell ref="AA45:AD45"/>
    <mergeCell ref="U46:V46"/>
    <mergeCell ref="AA46:AD46"/>
    <mergeCell ref="U52:V52"/>
    <mergeCell ref="W52:X52"/>
    <mergeCell ref="U53:V53"/>
    <mergeCell ref="W53:X53"/>
    <mergeCell ref="Y53:Z53"/>
    <mergeCell ref="AA53:AD53"/>
    <mergeCell ref="Y162:Z162"/>
    <mergeCell ref="AA162:AD162"/>
    <mergeCell ref="K163:N163"/>
    <mergeCell ref="K164:N164"/>
    <mergeCell ref="K165:N165"/>
    <mergeCell ref="K166:N166"/>
    <mergeCell ref="K167:N167"/>
    <mergeCell ref="K168:N168"/>
    <mergeCell ref="K152:N152"/>
    <mergeCell ref="K153:N153"/>
    <mergeCell ref="K154:N154"/>
    <mergeCell ref="K155:N155"/>
    <mergeCell ref="K156:N156"/>
    <mergeCell ref="K157:N157"/>
    <mergeCell ref="K158:N158"/>
    <mergeCell ref="Y164:Z164"/>
    <mergeCell ref="AA164:AD164"/>
    <mergeCell ref="U162:V162"/>
    <mergeCell ref="U163:V163"/>
    <mergeCell ref="W163:X163"/>
    <mergeCell ref="Y163:Z163"/>
    <mergeCell ref="AA163:AD163"/>
    <mergeCell ref="U164:V164"/>
    <mergeCell ref="W164:X164"/>
    <mergeCell ref="U168:V168"/>
    <mergeCell ref="W168:X168"/>
    <mergeCell ref="K145:N145"/>
    <mergeCell ref="K146:N146"/>
    <mergeCell ref="K147:N147"/>
    <mergeCell ref="K148:N148"/>
    <mergeCell ref="K149:N149"/>
    <mergeCell ref="K150:N150"/>
    <mergeCell ref="K151:N151"/>
    <mergeCell ref="K159:N159"/>
    <mergeCell ref="K160:N160"/>
    <mergeCell ref="K161:N161"/>
    <mergeCell ref="K162:N162"/>
    <mergeCell ref="W162:X162"/>
    <mergeCell ref="U165:V165"/>
    <mergeCell ref="W165:X165"/>
    <mergeCell ref="Y165:Z165"/>
    <mergeCell ref="AA165:AD165"/>
    <mergeCell ref="W166:X166"/>
    <mergeCell ref="Y166:Z166"/>
    <mergeCell ref="AA166:AD166"/>
    <mergeCell ref="U166:V166"/>
    <mergeCell ref="U167:V167"/>
    <mergeCell ref="W167:X167"/>
    <mergeCell ref="Y167:Z167"/>
    <mergeCell ref="AA167:AD167"/>
    <mergeCell ref="K136:N136"/>
    <mergeCell ref="K137:N137"/>
    <mergeCell ref="K138:N138"/>
    <mergeCell ref="K139:N139"/>
    <mergeCell ref="K140:N140"/>
    <mergeCell ref="K141:N141"/>
    <mergeCell ref="K142:N142"/>
    <mergeCell ref="K143:N143"/>
    <mergeCell ref="K144:N144"/>
    <mergeCell ref="K127:N127"/>
    <mergeCell ref="K128:N128"/>
    <mergeCell ref="K129:N129"/>
    <mergeCell ref="K130:N130"/>
    <mergeCell ref="K131:N131"/>
    <mergeCell ref="K132:N132"/>
    <mergeCell ref="K133:N133"/>
    <mergeCell ref="K134:N134"/>
    <mergeCell ref="K135:N135"/>
    <mergeCell ref="K118:N118"/>
    <mergeCell ref="K119:N119"/>
    <mergeCell ref="K120:N120"/>
    <mergeCell ref="K121:N121"/>
    <mergeCell ref="K122:N122"/>
    <mergeCell ref="K123:N123"/>
    <mergeCell ref="K124:N124"/>
    <mergeCell ref="K125:N125"/>
    <mergeCell ref="K126:N126"/>
    <mergeCell ref="U121:V121"/>
    <mergeCell ref="W121:X121"/>
    <mergeCell ref="K96:N96"/>
    <mergeCell ref="K97:N97"/>
    <mergeCell ref="K98:N98"/>
    <mergeCell ref="K99:N99"/>
    <mergeCell ref="K100:N100"/>
    <mergeCell ref="K101:N101"/>
    <mergeCell ref="K102:N102"/>
    <mergeCell ref="K103:N103"/>
    <mergeCell ref="K104:N104"/>
    <mergeCell ref="K105:N105"/>
    <mergeCell ref="K106:N106"/>
    <mergeCell ref="K107:N107"/>
    <mergeCell ref="K108:N108"/>
    <mergeCell ref="K109:N109"/>
    <mergeCell ref="K110:N110"/>
    <mergeCell ref="K111:N111"/>
    <mergeCell ref="K112:N112"/>
    <mergeCell ref="K113:N113"/>
    <mergeCell ref="K114:N114"/>
    <mergeCell ref="K115:N115"/>
    <mergeCell ref="K116:N116"/>
    <mergeCell ref="K117:N117"/>
    <mergeCell ref="U118:V118"/>
    <mergeCell ref="W118:X118"/>
    <mergeCell ref="Y118:Z118"/>
    <mergeCell ref="AA118:AD118"/>
    <mergeCell ref="W119:X119"/>
    <mergeCell ref="Y119:Z119"/>
    <mergeCell ref="AA119:AD119"/>
    <mergeCell ref="U119:V119"/>
    <mergeCell ref="U120:V120"/>
    <mergeCell ref="W120:X120"/>
    <mergeCell ref="Y120:Z120"/>
    <mergeCell ref="AA120:AD120"/>
    <mergeCell ref="W115:X115"/>
    <mergeCell ref="Y115:Z115"/>
    <mergeCell ref="AA115:AD115"/>
    <mergeCell ref="Y117:Z117"/>
    <mergeCell ref="AA117:AD117"/>
    <mergeCell ref="U115:V115"/>
    <mergeCell ref="U116:V116"/>
    <mergeCell ref="W116:X116"/>
    <mergeCell ref="Y116:Z116"/>
    <mergeCell ref="AA116:AD116"/>
    <mergeCell ref="U117:V117"/>
    <mergeCell ref="W117:X117"/>
    <mergeCell ref="U112:V112"/>
    <mergeCell ref="W112:X112"/>
    <mergeCell ref="Y112:Z112"/>
    <mergeCell ref="AA112:AD112"/>
    <mergeCell ref="U113:V113"/>
    <mergeCell ref="W113:X113"/>
    <mergeCell ref="U114:V114"/>
    <mergeCell ref="W114:X114"/>
    <mergeCell ref="Y114:Z114"/>
    <mergeCell ref="AA114:AD114"/>
    <mergeCell ref="U102:V102"/>
    <mergeCell ref="W102:X102"/>
    <mergeCell ref="Y102:Z102"/>
    <mergeCell ref="AA102:AD102"/>
    <mergeCell ref="U103:V103"/>
    <mergeCell ref="AA103:AD103"/>
    <mergeCell ref="W107:X107"/>
    <mergeCell ref="Y107:Z107"/>
    <mergeCell ref="U111:V111"/>
    <mergeCell ref="U93:V93"/>
    <mergeCell ref="AA93:AD93"/>
    <mergeCell ref="K89:N89"/>
    <mergeCell ref="K90:N90"/>
    <mergeCell ref="K91:N91"/>
    <mergeCell ref="K92:N92"/>
    <mergeCell ref="K93:N93"/>
    <mergeCell ref="K94:N94"/>
    <mergeCell ref="K95:N95"/>
    <mergeCell ref="AA94:AD94"/>
    <mergeCell ref="U95:V95"/>
    <mergeCell ref="AA95:AD95"/>
    <mergeCell ref="W95:X95"/>
    <mergeCell ref="Y95:Z95"/>
    <mergeCell ref="U90:V90"/>
    <mergeCell ref="W90:X90"/>
    <mergeCell ref="Y90:Z90"/>
    <mergeCell ref="AA90:AD90"/>
    <mergeCell ref="U91:V91"/>
    <mergeCell ref="AA91:AD91"/>
    <mergeCell ref="W91:X91"/>
    <mergeCell ref="Y91:Z91"/>
    <mergeCell ref="U92:V92"/>
    <mergeCell ref="W92:X92"/>
    <mergeCell ref="Y92:Z92"/>
    <mergeCell ref="AA92:AD92"/>
    <mergeCell ref="K87:N87"/>
    <mergeCell ref="K88:N88"/>
    <mergeCell ref="U88:V88"/>
    <mergeCell ref="W88:X88"/>
    <mergeCell ref="Y88:Z88"/>
    <mergeCell ref="AA88:AD88"/>
    <mergeCell ref="U89:V89"/>
    <mergeCell ref="AA89:AD89"/>
    <mergeCell ref="K80:N80"/>
    <mergeCell ref="K81:N81"/>
    <mergeCell ref="K82:N82"/>
    <mergeCell ref="K83:N83"/>
    <mergeCell ref="K84:N84"/>
    <mergeCell ref="K85:N85"/>
    <mergeCell ref="K86:N86"/>
    <mergeCell ref="W89:X89"/>
    <mergeCell ref="Y89:Z89"/>
    <mergeCell ref="W83:X83"/>
    <mergeCell ref="Y83:Z83"/>
    <mergeCell ref="AA83:AD83"/>
    <mergeCell ref="U83:V83"/>
    <mergeCell ref="U84:V84"/>
    <mergeCell ref="W84:X84"/>
    <mergeCell ref="Y84:Z84"/>
    <mergeCell ref="Y160:Z160"/>
    <mergeCell ref="AA160:AD160"/>
    <mergeCell ref="U161:V161"/>
    <mergeCell ref="W161:X161"/>
    <mergeCell ref="Y161:Z161"/>
    <mergeCell ref="AA161:AD161"/>
    <mergeCell ref="W97:X97"/>
    <mergeCell ref="Y97:Z97"/>
    <mergeCell ref="U98:V98"/>
    <mergeCell ref="W98:X98"/>
    <mergeCell ref="Y98:Z98"/>
    <mergeCell ref="AA98:AD98"/>
    <mergeCell ref="U99:V99"/>
    <mergeCell ref="AA99:AD99"/>
    <mergeCell ref="W99:X99"/>
    <mergeCell ref="Y99:Z99"/>
    <mergeCell ref="U100:V100"/>
    <mergeCell ref="W100:X100"/>
    <mergeCell ref="Y100:Z100"/>
    <mergeCell ref="AA100:AD100"/>
    <mergeCell ref="U101:V101"/>
    <mergeCell ref="AA101:AD101"/>
    <mergeCell ref="W101:X101"/>
    <mergeCell ref="Y101:Z101"/>
    <mergeCell ref="U159:V159"/>
    <mergeCell ref="W159:X159"/>
    <mergeCell ref="Y159:Z159"/>
    <mergeCell ref="AA159:AD159"/>
    <mergeCell ref="U160:V160"/>
    <mergeCell ref="W160:X160"/>
    <mergeCell ref="Y151:Z151"/>
    <mergeCell ref="AA151:AD151"/>
    <mergeCell ref="U149:V149"/>
    <mergeCell ref="U150:V150"/>
    <mergeCell ref="W150:X150"/>
    <mergeCell ref="Y150:Z150"/>
    <mergeCell ref="AA150:AD150"/>
    <mergeCell ref="U151:V151"/>
    <mergeCell ref="W151:X151"/>
    <mergeCell ref="U153:V153"/>
    <mergeCell ref="W153:X153"/>
    <mergeCell ref="Y153:Z153"/>
    <mergeCell ref="AA153:AD153"/>
    <mergeCell ref="W154:X154"/>
    <mergeCell ref="Y154:Z154"/>
    <mergeCell ref="AA154:AD154"/>
    <mergeCell ref="Y156:Z156"/>
    <mergeCell ref="AA156:AD156"/>
    <mergeCell ref="U152:V152"/>
    <mergeCell ref="W152:X152"/>
    <mergeCell ref="Y152:Z152"/>
    <mergeCell ref="AA152:AD152"/>
    <mergeCell ref="U157:V157"/>
    <mergeCell ref="W157:X157"/>
    <mergeCell ref="Y157:Z157"/>
    <mergeCell ref="AA157:AD157"/>
    <mergeCell ref="W158:X158"/>
    <mergeCell ref="Y158:Z158"/>
    <mergeCell ref="AA158:AD158"/>
    <mergeCell ref="U158:V158"/>
    <mergeCell ref="U154:V154"/>
    <mergeCell ref="U155:V155"/>
    <mergeCell ref="W155:X155"/>
    <mergeCell ref="Y155:Z155"/>
    <mergeCell ref="AA155:AD155"/>
    <mergeCell ref="U156:V156"/>
    <mergeCell ref="W156:X156"/>
    <mergeCell ref="U144:V144"/>
    <mergeCell ref="W144:X144"/>
    <mergeCell ref="Y144:Z144"/>
    <mergeCell ref="AA144:AD144"/>
    <mergeCell ref="W145:X145"/>
    <mergeCell ref="Y145:Z145"/>
    <mergeCell ref="AA145:AD145"/>
    <mergeCell ref="Y147:Z147"/>
    <mergeCell ref="AA147:AD147"/>
    <mergeCell ref="AA140:AD140"/>
    <mergeCell ref="W141:X141"/>
    <mergeCell ref="Y141:Z141"/>
    <mergeCell ref="AA141:AD141"/>
    <mergeCell ref="U141:V141"/>
    <mergeCell ref="U142:V142"/>
    <mergeCell ref="W142:X142"/>
    <mergeCell ref="Y142:Z142"/>
    <mergeCell ref="U143:V143"/>
    <mergeCell ref="W143:X143"/>
    <mergeCell ref="Y143:Z143"/>
    <mergeCell ref="U140:V140"/>
    <mergeCell ref="W140:X140"/>
    <mergeCell ref="U147:V147"/>
    <mergeCell ref="W147:X147"/>
    <mergeCell ref="U148:V148"/>
    <mergeCell ref="W148:X148"/>
    <mergeCell ref="Y148:Z148"/>
    <mergeCell ref="AA148:AD148"/>
    <mergeCell ref="W149:X149"/>
    <mergeCell ref="Y149:Z149"/>
    <mergeCell ref="AA149:AD149"/>
    <mergeCell ref="W111:X111"/>
    <mergeCell ref="Y111:Z111"/>
    <mergeCell ref="AA111:AD111"/>
    <mergeCell ref="Y113:Z113"/>
    <mergeCell ref="AA113:AD113"/>
    <mergeCell ref="W129:X129"/>
    <mergeCell ref="Y129:Z129"/>
    <mergeCell ref="U145:V145"/>
    <mergeCell ref="U146:V146"/>
    <mergeCell ref="W146:X146"/>
    <mergeCell ref="Y146:Z146"/>
    <mergeCell ref="AA146:AD146"/>
    <mergeCell ref="U137:V137"/>
    <mergeCell ref="U138:V138"/>
    <mergeCell ref="W138:X138"/>
    <mergeCell ref="Y138:Z138"/>
    <mergeCell ref="AA138:AD138"/>
    <mergeCell ref="U139:V139"/>
    <mergeCell ref="W139:X139"/>
    <mergeCell ref="AA142:AD142"/>
    <mergeCell ref="AA143:AD143"/>
    <mergeCell ref="Y139:Z139"/>
    <mergeCell ref="AA139:AD139"/>
    <mergeCell ref="Y140:Z140"/>
    <mergeCell ref="U108:V108"/>
    <mergeCell ref="W108:X108"/>
    <mergeCell ref="Y108:Z108"/>
    <mergeCell ref="AA108:AD108"/>
    <mergeCell ref="U109:V109"/>
    <mergeCell ref="W109:X109"/>
    <mergeCell ref="U110:V110"/>
    <mergeCell ref="W110:X110"/>
    <mergeCell ref="Y110:Z110"/>
    <mergeCell ref="AA110:AD110"/>
    <mergeCell ref="U128:V128"/>
    <mergeCell ref="W128:X128"/>
    <mergeCell ref="Y128:Z128"/>
    <mergeCell ref="AA128:AD128"/>
    <mergeCell ref="U129:V129"/>
    <mergeCell ref="AA129:AD129"/>
    <mergeCell ref="W103:X103"/>
    <mergeCell ref="Y103:Z103"/>
    <mergeCell ref="U104:V104"/>
    <mergeCell ref="W104:X104"/>
    <mergeCell ref="Y104:Z104"/>
    <mergeCell ref="AA104:AD104"/>
    <mergeCell ref="U105:V105"/>
    <mergeCell ref="AA105:AD105"/>
    <mergeCell ref="W105:X105"/>
    <mergeCell ref="Y105:Z105"/>
    <mergeCell ref="U106:V106"/>
    <mergeCell ref="W106:X106"/>
    <mergeCell ref="Y106:Z106"/>
    <mergeCell ref="AA106:AD106"/>
    <mergeCell ref="AA107:AD107"/>
    <mergeCell ref="Y109:Z109"/>
    <mergeCell ref="AA109:AD109"/>
    <mergeCell ref="U107:V107"/>
    <mergeCell ref="W125:X125"/>
    <mergeCell ref="Y125:Z125"/>
    <mergeCell ref="U126:V126"/>
    <mergeCell ref="W126:X126"/>
    <mergeCell ref="Y126:Z126"/>
    <mergeCell ref="AA126:AD126"/>
    <mergeCell ref="U127:V127"/>
    <mergeCell ref="AA127:AD127"/>
    <mergeCell ref="W127:X127"/>
    <mergeCell ref="Y127:Z127"/>
  </mergeCells>
  <phoneticPr fontId="23" type="noConversion"/>
  <conditionalFormatting sqref="B16">
    <cfRule type="notContainsBlanks" dxfId="4" priority="1">
      <formula>LEN(TRIM(B16))&gt;0</formula>
    </cfRule>
  </conditionalFormatting>
  <dataValidations count="1">
    <dataValidation type="list" allowBlank="1" showErrorMessage="1" sqref="B12:B168" xr:uid="{00000000-0002-0000-0400-000000000000}">
      <formula1>"TR#13,TR#14,TR#15,TR#16,TR#17,TR#18,TR#19,TR#20,TR#21,TR#22,TR#23,TR#24,TR#25"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E122"/>
  <sheetViews>
    <sheetView workbookViewId="0"/>
  </sheetViews>
  <sheetFormatPr defaultColWidth="12.6328125" defaultRowHeight="15.75" customHeight="1"/>
  <sheetData>
    <row r="1" spans="1:31">
      <c r="A1" s="21" t="s">
        <v>109</v>
      </c>
      <c r="B1" s="21" t="s">
        <v>110</v>
      </c>
      <c r="C1" s="21" t="s">
        <v>111</v>
      </c>
      <c r="D1" s="21" t="s">
        <v>54</v>
      </c>
      <c r="E1" s="21" t="s">
        <v>116</v>
      </c>
      <c r="F1" s="23" t="s">
        <v>117</v>
      </c>
      <c r="G1" s="42" t="s">
        <v>58</v>
      </c>
      <c r="H1" s="42" t="s">
        <v>59</v>
      </c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69"/>
      <c r="V1" s="151"/>
      <c r="W1" s="121"/>
      <c r="X1" s="151"/>
      <c r="Y1" s="121"/>
      <c r="Z1" s="151"/>
      <c r="AA1" s="121"/>
      <c r="AB1" s="151"/>
      <c r="AC1" s="121"/>
      <c r="AD1" s="121"/>
      <c r="AE1" s="121"/>
    </row>
    <row r="2" spans="1:31">
      <c r="A2" s="51" t="s">
        <v>128</v>
      </c>
      <c r="B2" s="51" t="s">
        <v>26</v>
      </c>
      <c r="C2" s="52">
        <v>0.34444444444444444</v>
      </c>
      <c r="D2" s="53">
        <v>126</v>
      </c>
      <c r="E2" s="53">
        <v>25</v>
      </c>
      <c r="F2" s="53">
        <v>484</v>
      </c>
      <c r="G2" s="27">
        <f>DEGREES(ASIN(SIN(RADIANS($L$8))*COS(F2/637100008.8)+COS(RADIANS($L$8))*SIN(F2/637100008.8)*COS(RADIANS(MOD(D2+180, 360)))))</f>
        <v>24.891979543415388</v>
      </c>
      <c r="H2" s="27">
        <f>DEGREES(
  RADIANS($M$8) + ATAN2(
    COS(F2/637100008.8) - SIN(RADIANS($L$8))*SIN(RADIANS(G2)), SIN(RADIANS(MOD(D2+180,360)))*SIN(F2/637100008.8)*COS(RADIANS($L$8))
  )
)</f>
        <v>121.56681283602013</v>
      </c>
      <c r="I2" s="78"/>
      <c r="J2" s="78"/>
      <c r="K2" s="78"/>
      <c r="L2" s="78"/>
      <c r="M2" s="78"/>
      <c r="N2" s="78"/>
      <c r="O2" s="79"/>
      <c r="P2" s="79"/>
      <c r="Q2" s="79"/>
      <c r="R2" s="79"/>
      <c r="S2" s="79"/>
      <c r="T2" s="79"/>
      <c r="U2" s="80"/>
      <c r="V2" s="152"/>
      <c r="W2" s="121"/>
      <c r="X2" s="152"/>
      <c r="Y2" s="121"/>
      <c r="Z2" s="152"/>
      <c r="AA2" s="121"/>
      <c r="AB2" s="153"/>
      <c r="AC2" s="121"/>
      <c r="AD2" s="121"/>
      <c r="AE2" s="121"/>
    </row>
    <row r="3" spans="1:31">
      <c r="A3" s="51"/>
      <c r="B3" s="51" t="s">
        <v>30</v>
      </c>
      <c r="C3" s="52">
        <v>0.3611111111111111</v>
      </c>
      <c r="D3" s="53">
        <v>344</v>
      </c>
      <c r="E3" s="53">
        <v>21</v>
      </c>
      <c r="F3" s="53">
        <v>138.6</v>
      </c>
      <c r="G3" s="27">
        <f>DEGREES(ASIN(SIN(RADIANS($L$4))*COS(F3/637100008.8)+COS(RADIANS($L$4))*SIN(F3/637100008.8)*COS(RADIANS(MOD(D3+180, 360)))))</f>
        <v>24.891935958432409</v>
      </c>
      <c r="H3" s="27">
        <f>DEGREES(
  RADIANS($M$4) + ATAN2(
    COS(F3/637100008.8) - SIN(RADIANS($L$4))*SIN(RADIANS(G3)), SIN(RADIANS(MOD(D3+180,360)))*SIN(F3/637100008.8)*COS(RADIANS($L$4))
  )
)</f>
        <v>121.56695032939341</v>
      </c>
      <c r="I3" s="78"/>
      <c r="J3" s="78"/>
      <c r="K3" s="78" t="s">
        <v>223</v>
      </c>
      <c r="L3" s="78" t="s">
        <v>224</v>
      </c>
      <c r="M3" s="78" t="s">
        <v>225</v>
      </c>
      <c r="N3" s="78"/>
      <c r="O3" s="79"/>
      <c r="P3" s="79"/>
      <c r="Q3" s="79"/>
      <c r="R3" s="79"/>
      <c r="S3" s="79"/>
      <c r="T3" s="79"/>
      <c r="U3" s="80"/>
      <c r="V3" s="152"/>
      <c r="W3" s="121"/>
      <c r="X3" s="152"/>
      <c r="Y3" s="121"/>
      <c r="Z3" s="152"/>
      <c r="AA3" s="121"/>
      <c r="AB3" s="153"/>
      <c r="AC3" s="121"/>
      <c r="AD3" s="121"/>
      <c r="AE3" s="121"/>
    </row>
    <row r="4" spans="1:31">
      <c r="A4" s="51"/>
      <c r="B4" s="51" t="s">
        <v>28</v>
      </c>
      <c r="C4" s="52">
        <v>0.3840277777777778</v>
      </c>
      <c r="D4" s="56" t="s">
        <v>132</v>
      </c>
      <c r="E4" s="56" t="s">
        <v>132</v>
      </c>
      <c r="F4" s="53">
        <v>683</v>
      </c>
      <c r="G4" s="79"/>
      <c r="H4" s="79"/>
      <c r="I4" s="78"/>
      <c r="J4" s="78"/>
      <c r="K4" s="28">
        <v>21</v>
      </c>
      <c r="L4" s="81">
        <v>24.891947940172379</v>
      </c>
      <c r="M4" s="81">
        <v>121.56694654183273</v>
      </c>
      <c r="N4" s="78"/>
      <c r="O4" s="79"/>
      <c r="P4" s="79"/>
      <c r="Q4" s="79"/>
      <c r="R4" s="79"/>
      <c r="S4" s="79"/>
      <c r="T4" s="79"/>
      <c r="U4" s="80"/>
      <c r="V4" s="152"/>
      <c r="W4" s="121"/>
      <c r="X4" s="152"/>
      <c r="Y4" s="121"/>
      <c r="Z4" s="152"/>
      <c r="AA4" s="121"/>
      <c r="AB4" s="153"/>
      <c r="AC4" s="121"/>
      <c r="AD4" s="121"/>
      <c r="AE4" s="121"/>
    </row>
    <row r="5" spans="1:31">
      <c r="A5" s="51"/>
      <c r="B5" s="51" t="s">
        <v>26</v>
      </c>
      <c r="C5" s="52">
        <v>0.40625</v>
      </c>
      <c r="D5" s="56" t="s">
        <v>132</v>
      </c>
      <c r="E5" s="56" t="s">
        <v>132</v>
      </c>
      <c r="F5" s="53">
        <v>190</v>
      </c>
      <c r="G5" s="79"/>
      <c r="H5" s="79"/>
      <c r="I5" s="78"/>
      <c r="J5" s="78"/>
      <c r="K5" s="28">
        <v>22</v>
      </c>
      <c r="L5" s="81">
        <v>24.891855371301201</v>
      </c>
      <c r="M5" s="81">
        <v>121.56701177788312</v>
      </c>
      <c r="N5" s="78"/>
      <c r="O5" s="79"/>
      <c r="P5" s="79"/>
      <c r="Q5" s="79"/>
      <c r="R5" s="79"/>
      <c r="S5" s="79"/>
      <c r="T5" s="79"/>
      <c r="U5" s="80"/>
      <c r="V5" s="152"/>
      <c r="W5" s="121"/>
      <c r="X5" s="152"/>
      <c r="Y5" s="121"/>
      <c r="Z5" s="152"/>
      <c r="AA5" s="121"/>
      <c r="AB5" s="153"/>
      <c r="AC5" s="121"/>
      <c r="AD5" s="121"/>
      <c r="AE5" s="121"/>
    </row>
    <row r="6" spans="1:31">
      <c r="A6" s="51"/>
      <c r="B6" s="57" t="s">
        <v>19</v>
      </c>
      <c r="C6" s="52">
        <v>0.41875000000000001</v>
      </c>
      <c r="D6" s="53">
        <v>266</v>
      </c>
      <c r="E6" s="53">
        <v>22</v>
      </c>
      <c r="F6" s="58">
        <v>256.3</v>
      </c>
      <c r="G6" s="27">
        <f>DEGREES(ASIN(SIN(RADIANS($L$5))*COS(F6/637100008.8)+COS(RADIANS($L$5))*SIN(F6/637100008.8)*COS(RADIANS(MOD(D6+180, 360)))))</f>
        <v>24.891856979158742</v>
      </c>
      <c r="H6" s="27">
        <f>DEGREES(
  RADIANS($M$5) + ATAN2(
    COS(F6/637100008.8) - SIN(RADIANS($L$5))*SIN(RADIANS(G6)), SIN(RADIANS(MOD(D6+180,360)))*SIN(F6/637100008.8)*COS(RADIANS($L$5))
  )
)</f>
        <v>121.56703712609976</v>
      </c>
      <c r="I6" s="78"/>
      <c r="J6" s="78"/>
      <c r="K6" s="28">
        <v>23</v>
      </c>
      <c r="L6" s="81">
        <v>24.891867450819625</v>
      </c>
      <c r="M6" s="81">
        <v>121.5670037764765</v>
      </c>
      <c r="N6" s="78"/>
      <c r="O6" s="79"/>
      <c r="P6" s="79"/>
      <c r="Q6" s="79"/>
      <c r="R6" s="79"/>
      <c r="S6" s="79"/>
      <c r="T6" s="79"/>
      <c r="U6" s="80"/>
      <c r="V6" s="152"/>
      <c r="W6" s="121"/>
      <c r="X6" s="152"/>
      <c r="Y6" s="121"/>
      <c r="Z6" s="152"/>
      <c r="AA6" s="121"/>
      <c r="AB6" s="153"/>
      <c r="AC6" s="121"/>
      <c r="AD6" s="121"/>
      <c r="AE6" s="121"/>
    </row>
    <row r="7" spans="1:31">
      <c r="A7" s="51"/>
      <c r="B7" s="51" t="s">
        <v>33</v>
      </c>
      <c r="C7" s="52">
        <v>0.42499999999999999</v>
      </c>
      <c r="D7" s="53">
        <v>135</v>
      </c>
      <c r="E7" s="53">
        <v>23</v>
      </c>
      <c r="F7" s="58">
        <v>103</v>
      </c>
      <c r="G7" s="27">
        <f>DEGREES(ASIN(SIN(RADIANS($L$6))*COS(F7/637100008.8)+COS(RADIANS($L$6))*SIN(F7/637100008.8)*COS(RADIANS(MOD(D7+180, 360)))))</f>
        <v>24.891874000758346</v>
      </c>
      <c r="H7" s="27">
        <f>DEGREES(
  RADIANS($M$6) + ATAN2(
    COS(F7/637100008.8) - SIN(RADIANS($L$6))*SIN(RADIANS(G7)), SIN(RADIANS(MOD(D7+180,360)))*SIN(F7/637100008.8)*COS(RADIANS($L$6))
  )
)</f>
        <v>121.5669965557599</v>
      </c>
      <c r="I7" s="78"/>
      <c r="J7" s="78"/>
      <c r="K7" s="28">
        <v>24</v>
      </c>
      <c r="L7" s="81">
        <v>24.891907359949894</v>
      </c>
      <c r="M7" s="81">
        <v>121.56696553115697</v>
      </c>
      <c r="N7" s="78"/>
      <c r="O7" s="79"/>
      <c r="P7" s="79"/>
      <c r="Q7" s="79"/>
      <c r="R7" s="79"/>
      <c r="S7" s="79"/>
      <c r="T7" s="79"/>
      <c r="U7" s="80"/>
      <c r="V7" s="152"/>
      <c r="W7" s="121"/>
      <c r="X7" s="152"/>
      <c r="Y7" s="121"/>
      <c r="Z7" s="152"/>
      <c r="AA7" s="121"/>
      <c r="AB7" s="153"/>
      <c r="AC7" s="121"/>
      <c r="AD7" s="121"/>
      <c r="AE7" s="121"/>
    </row>
    <row r="8" spans="1:31">
      <c r="A8" s="51"/>
      <c r="B8" s="51" t="s">
        <v>37</v>
      </c>
      <c r="C8" s="52">
        <v>0.44444444444444442</v>
      </c>
      <c r="D8" s="53">
        <v>290</v>
      </c>
      <c r="E8" s="53">
        <v>22</v>
      </c>
      <c r="F8" s="53">
        <v>734</v>
      </c>
      <c r="G8" s="27">
        <f>DEGREES(ASIN(SIN(RADIANS($L$5))*COS(F8/637100008.8)+COS(RADIANS($L$5))*SIN(F8/637100008.8)*COS(RADIANS(MOD(D8+180, 360)))))</f>
        <v>24.891832794465859</v>
      </c>
      <c r="H8" s="27">
        <f>DEGREES(
  RADIANS($M$5) + ATAN2(
    COS(F8/637100008.8) - SIN(RADIANS($L$5))*SIN(RADIANS(G8)), SIN(RADIANS(MOD(D8+180,360)))*SIN(F8/637100008.8)*COS(RADIANS($L$5))
  )
)</f>
        <v>121.56708015956927</v>
      </c>
      <c r="I8" s="78"/>
      <c r="J8" s="78"/>
      <c r="K8" s="28">
        <v>25</v>
      </c>
      <c r="L8" s="81">
        <v>24.891953958794673</v>
      </c>
      <c r="M8" s="81">
        <v>121.56685165654932</v>
      </c>
      <c r="N8" s="78"/>
      <c r="O8" s="79"/>
      <c r="P8" s="79"/>
      <c r="Q8" s="79"/>
      <c r="R8" s="79"/>
      <c r="S8" s="79"/>
      <c r="T8" s="79"/>
      <c r="U8" s="80"/>
      <c r="V8" s="152"/>
      <c r="W8" s="121"/>
      <c r="X8" s="152"/>
      <c r="Y8" s="121"/>
      <c r="Z8" s="152"/>
      <c r="AA8" s="121"/>
      <c r="AB8" s="153"/>
      <c r="AC8" s="121"/>
      <c r="AD8" s="121"/>
      <c r="AE8" s="121"/>
    </row>
    <row r="9" spans="1:31">
      <c r="A9" s="51"/>
      <c r="B9" s="51" t="s">
        <v>35</v>
      </c>
      <c r="C9" s="52">
        <v>0.46041666666666664</v>
      </c>
      <c r="D9" s="53">
        <v>209</v>
      </c>
      <c r="E9" s="53">
        <v>33</v>
      </c>
      <c r="F9" s="53">
        <v>380.6</v>
      </c>
      <c r="G9" s="79"/>
      <c r="H9" s="79"/>
      <c r="I9" s="78"/>
      <c r="J9" s="78"/>
      <c r="K9" s="28">
        <v>26</v>
      </c>
      <c r="L9" s="81">
        <v>24.89190565202702</v>
      </c>
      <c r="M9" s="81">
        <v>121.56691055513724</v>
      </c>
      <c r="N9" s="78"/>
      <c r="O9" s="79"/>
      <c r="P9" s="79"/>
      <c r="Q9" s="79"/>
      <c r="R9" s="79"/>
      <c r="S9" s="79"/>
      <c r="T9" s="79"/>
      <c r="U9" s="80"/>
      <c r="V9" s="152"/>
      <c r="W9" s="121"/>
      <c r="X9" s="152"/>
      <c r="Y9" s="121"/>
      <c r="Z9" s="152"/>
      <c r="AA9" s="121"/>
      <c r="AB9" s="153"/>
      <c r="AC9" s="121"/>
      <c r="AD9" s="121"/>
      <c r="AE9" s="121"/>
    </row>
    <row r="10" spans="1:31">
      <c r="A10" s="51" t="s">
        <v>143</v>
      </c>
      <c r="B10" s="51" t="s">
        <v>35</v>
      </c>
      <c r="C10" s="52">
        <v>0.6333333333333333</v>
      </c>
      <c r="D10" s="53" t="s">
        <v>132</v>
      </c>
      <c r="E10" s="53" t="s">
        <v>132</v>
      </c>
      <c r="F10" s="53" t="s">
        <v>132</v>
      </c>
      <c r="G10" s="79"/>
      <c r="H10" s="79"/>
      <c r="I10" s="78"/>
      <c r="J10" s="78"/>
      <c r="K10" s="28">
        <v>27</v>
      </c>
      <c r="L10" s="81">
        <v>24.891901944831186</v>
      </c>
      <c r="M10" s="81">
        <v>121.5669009271232</v>
      </c>
      <c r="N10" s="78"/>
      <c r="O10" s="79"/>
      <c r="P10" s="79"/>
      <c r="Q10" s="79"/>
      <c r="R10" s="79"/>
      <c r="S10" s="79"/>
      <c r="T10" s="79"/>
      <c r="U10" s="80"/>
      <c r="V10" s="152"/>
      <c r="W10" s="121"/>
      <c r="X10" s="152"/>
      <c r="Y10" s="121"/>
      <c r="Z10" s="152"/>
      <c r="AA10" s="121"/>
      <c r="AB10" s="153"/>
      <c r="AC10" s="121"/>
      <c r="AD10" s="121"/>
      <c r="AE10" s="121"/>
    </row>
    <row r="11" spans="1:31">
      <c r="A11" s="51"/>
      <c r="B11" s="51" t="s">
        <v>33</v>
      </c>
      <c r="C11" s="52">
        <v>0.64652777777777781</v>
      </c>
      <c r="D11" s="53">
        <v>96</v>
      </c>
      <c r="E11" s="53">
        <v>22</v>
      </c>
      <c r="F11" s="53">
        <v>93.6</v>
      </c>
      <c r="G11" s="27">
        <f t="shared" ref="G11:G13" si="0">DEGREES(ASIN(SIN(RADIANS($L$5))*COS(F11/637100008.8)+COS(RADIANS($L$5))*SIN(F11/637100008.8)*COS(RADIANS(MOD(D11+180, 360)))))</f>
        <v>24.891856251184947</v>
      </c>
      <c r="H11" s="27">
        <f t="shared" ref="H11:H13" si="1">DEGREES(
  RADIANS($M$5) + ATAN2(
    COS(F11/637100008.8) - SIN(RADIANS($L$5))*SIN(RADIANS(G11)), SIN(RADIANS(MOD(D11+180,360)))*SIN(F11/637100008.8)*COS(RADIANS($L$5))
  )
)</f>
        <v>121.56700254901992</v>
      </c>
      <c r="I11" s="78"/>
      <c r="J11" s="78"/>
      <c r="K11" s="28">
        <v>28</v>
      </c>
      <c r="L11" s="81">
        <v>24.89189130624024</v>
      </c>
      <c r="M11" s="81">
        <v>121.56693079733867</v>
      </c>
      <c r="N11" s="78"/>
      <c r="O11" s="79"/>
      <c r="P11" s="79"/>
      <c r="Q11" s="79"/>
      <c r="R11" s="79"/>
      <c r="S11" s="79"/>
      <c r="T11" s="79"/>
      <c r="U11" s="80"/>
      <c r="V11" s="152"/>
      <c r="W11" s="121"/>
      <c r="X11" s="152"/>
      <c r="Y11" s="121"/>
      <c r="Z11" s="152"/>
      <c r="AA11" s="121"/>
      <c r="AB11" s="153"/>
      <c r="AC11" s="121"/>
      <c r="AD11" s="121"/>
      <c r="AE11" s="121"/>
    </row>
    <row r="12" spans="1:31">
      <c r="A12" s="51"/>
      <c r="B12" s="51" t="s">
        <v>19</v>
      </c>
      <c r="C12" s="52">
        <v>0.67013888888888884</v>
      </c>
      <c r="D12" s="53">
        <v>231</v>
      </c>
      <c r="E12" s="53">
        <v>22</v>
      </c>
      <c r="F12" s="53">
        <v>600</v>
      </c>
      <c r="G12" s="27">
        <f t="shared" si="0"/>
        <v>24.891889328979097</v>
      </c>
      <c r="H12" s="27">
        <f t="shared" si="1"/>
        <v>121.56705800661419</v>
      </c>
      <c r="I12" s="78"/>
      <c r="J12" s="78"/>
      <c r="K12" s="28">
        <v>29</v>
      </c>
      <c r="L12" s="81">
        <v>24.891840367625438</v>
      </c>
      <c r="M12" s="81">
        <v>121.56722858222672</v>
      </c>
      <c r="N12" s="78"/>
      <c r="O12" s="79"/>
      <c r="P12" s="79"/>
      <c r="Q12" s="79"/>
      <c r="R12" s="79"/>
      <c r="S12" s="79"/>
      <c r="T12" s="79"/>
      <c r="U12" s="80"/>
      <c r="V12" s="152"/>
      <c r="W12" s="121"/>
      <c r="X12" s="152"/>
      <c r="Y12" s="121"/>
      <c r="Z12" s="152"/>
      <c r="AA12" s="121"/>
      <c r="AB12" s="153"/>
      <c r="AC12" s="121"/>
      <c r="AD12" s="121"/>
      <c r="AE12" s="121"/>
    </row>
    <row r="13" spans="1:31">
      <c r="A13" s="51"/>
      <c r="B13" s="51" t="s">
        <v>37</v>
      </c>
      <c r="C13" s="52">
        <v>0.68055555555555558</v>
      </c>
      <c r="D13" s="53">
        <v>209</v>
      </c>
      <c r="E13" s="53">
        <v>22</v>
      </c>
      <c r="F13" s="53">
        <v>522</v>
      </c>
      <c r="G13" s="27">
        <f t="shared" si="0"/>
        <v>24.891896429960198</v>
      </c>
      <c r="H13" s="27">
        <f t="shared" si="1"/>
        <v>121.56703686783827</v>
      </c>
      <c r="I13" s="78"/>
      <c r="J13" s="78"/>
      <c r="K13" s="28">
        <v>30</v>
      </c>
      <c r="L13" s="81">
        <v>24.891841496136305</v>
      </c>
      <c r="M13" s="81">
        <v>121.56715730993953</v>
      </c>
      <c r="N13" s="78"/>
      <c r="O13" s="79"/>
      <c r="P13" s="79"/>
      <c r="Q13" s="79"/>
      <c r="R13" s="79"/>
      <c r="S13" s="79"/>
      <c r="T13" s="79"/>
      <c r="U13" s="80"/>
      <c r="V13" s="152"/>
      <c r="W13" s="121"/>
      <c r="X13" s="152"/>
      <c r="Y13" s="121"/>
      <c r="Z13" s="152"/>
      <c r="AA13" s="121"/>
      <c r="AB13" s="153"/>
      <c r="AC13" s="121"/>
      <c r="AD13" s="121"/>
      <c r="AE13" s="121"/>
    </row>
    <row r="14" spans="1:31">
      <c r="A14" s="51"/>
      <c r="B14" s="51" t="s">
        <v>30</v>
      </c>
      <c r="C14" s="52">
        <v>0.69444444444444442</v>
      </c>
      <c r="D14" s="53">
        <v>175</v>
      </c>
      <c r="E14" s="53">
        <v>21</v>
      </c>
      <c r="F14" s="58">
        <v>143.19999999999999</v>
      </c>
      <c r="G14" s="27">
        <f>DEGREES(ASIN(SIN(RADIANS($L$4))*COS(F14/637100008.8)+COS(RADIANS($L$4))*SIN(F14/637100008.8)*COS(RADIANS(MOD(D14+180, 360)))))</f>
        <v>24.891960769451831</v>
      </c>
      <c r="H14" s="27">
        <f>DEGREES(
  RADIANS($M$4) + ATAN2(
    COS(F14/637100008.8) - SIN(RADIANS($L$4))*SIN(RADIANS(G14)), SIN(RADIANS(MOD(D14+180,360)))*SIN(F14/637100008.8)*COS(RADIANS($L$4))
  )
)</f>
        <v>121.56694530446893</v>
      </c>
      <c r="I14" s="78"/>
      <c r="J14" s="78"/>
      <c r="K14" s="28">
        <v>31</v>
      </c>
      <c r="L14" s="81">
        <v>24.892041338854195</v>
      </c>
      <c r="M14" s="81">
        <v>121.5669229457436</v>
      </c>
      <c r="N14" s="78"/>
      <c r="O14" s="11"/>
      <c r="P14" s="11"/>
      <c r="Q14" s="11"/>
      <c r="R14" s="11"/>
      <c r="S14" s="11"/>
      <c r="T14" s="11"/>
      <c r="U14" s="39"/>
      <c r="V14" s="155"/>
      <c r="W14" s="121"/>
      <c r="X14" s="152"/>
      <c r="Y14" s="121"/>
      <c r="Z14" s="152"/>
      <c r="AA14" s="121"/>
      <c r="AB14" s="153"/>
      <c r="AC14" s="121"/>
      <c r="AD14" s="121"/>
      <c r="AE14" s="121"/>
    </row>
    <row r="15" spans="1:31">
      <c r="A15" s="51" t="s">
        <v>148</v>
      </c>
      <c r="B15" s="51" t="s">
        <v>33</v>
      </c>
      <c r="C15" s="59">
        <v>0.89583333333333337</v>
      </c>
      <c r="D15" s="53">
        <v>126</v>
      </c>
      <c r="E15" s="53">
        <v>22</v>
      </c>
      <c r="F15" s="58">
        <v>19</v>
      </c>
      <c r="G15" s="27">
        <f>DEGREES(ASIN(SIN(RADIANS($L$5))*COS(F15/637100008.8)+COS(RADIANS($L$5))*SIN(F15/637100008.8)*COS(RADIANS(MOD(D15+180, 360)))))</f>
        <v>24.891856375656339</v>
      </c>
      <c r="H15" s="27">
        <f>DEGREES(
  RADIANS($M$5) + ATAN2(
    COS(F15/637100008.8) - SIN(RADIANS($L$5))*SIN(RADIANS(G15)), SIN(RADIANS(MOD(D15+180,360)))*SIN(F15/637100008.8)*COS(RADIANS($L$5))
  )
)</f>
        <v>121.56701025393826</v>
      </c>
      <c r="I15" s="78"/>
      <c r="J15" s="78"/>
      <c r="K15" s="28">
        <v>33</v>
      </c>
      <c r="L15" s="81">
        <v>24.891951031712406</v>
      </c>
      <c r="M15" s="81">
        <v>121.56704413736196</v>
      </c>
      <c r="N15" s="78"/>
      <c r="O15" s="79"/>
      <c r="P15" s="79"/>
      <c r="Q15" s="79"/>
      <c r="R15" s="79"/>
      <c r="S15" s="79"/>
      <c r="T15" s="79"/>
      <c r="U15" s="80"/>
      <c r="V15" s="152"/>
      <c r="W15" s="121"/>
      <c r="X15" s="152"/>
      <c r="Y15" s="121"/>
      <c r="Z15" s="152"/>
      <c r="AA15" s="121"/>
      <c r="AB15" s="153"/>
      <c r="AC15" s="121"/>
      <c r="AD15" s="121"/>
      <c r="AE15" s="121"/>
    </row>
    <row r="16" spans="1:31">
      <c r="A16" s="51" t="s">
        <v>151</v>
      </c>
      <c r="B16" s="51" t="s">
        <v>33</v>
      </c>
      <c r="C16" s="59">
        <v>0.6875</v>
      </c>
      <c r="D16" s="53">
        <v>74</v>
      </c>
      <c r="E16" s="53">
        <v>23</v>
      </c>
      <c r="F16" s="58">
        <v>476</v>
      </c>
      <c r="G16" s="27">
        <f t="shared" ref="G16:G18" si="2">DEGREES(ASIN(SIN(RADIANS($L$6))*COS(F16/637100008.8)+COS(RADIANS($L$6))*SIN(F16/637100008.8)*COS(RADIANS(MOD(D16+180, 360)))))</f>
        <v>24.891855651409369</v>
      </c>
      <c r="H16" s="27">
        <f t="shared" ref="H16:H18" si="3">DEGREES(
  RADIANS($M$6) + ATAN2(
    COS(F16/637100008.8) - SIN(RADIANS($L$6))*SIN(RADIANS(G16)), SIN(RADIANS(MOD(D16+180,360)))*SIN(F16/637100008.8)*COS(RADIANS($L$6))
  )
)</f>
        <v>121.56695841297187</v>
      </c>
      <c r="I16" s="78"/>
      <c r="J16" s="78"/>
      <c r="K16" s="28">
        <v>34</v>
      </c>
      <c r="L16" s="81">
        <v>24.892016156823846</v>
      </c>
      <c r="M16" s="81">
        <v>121.56712672757713</v>
      </c>
      <c r="N16" s="78"/>
      <c r="O16" s="79"/>
      <c r="P16" s="79"/>
      <c r="Q16" s="79"/>
      <c r="R16" s="79"/>
      <c r="S16" s="79"/>
      <c r="T16" s="79"/>
      <c r="U16" s="80"/>
      <c r="V16" s="152"/>
      <c r="W16" s="121"/>
      <c r="X16" s="152"/>
      <c r="Y16" s="121"/>
      <c r="Z16" s="152"/>
      <c r="AA16" s="121"/>
      <c r="AB16" s="153"/>
      <c r="AC16" s="121"/>
      <c r="AD16" s="121"/>
      <c r="AE16" s="121"/>
    </row>
    <row r="17" spans="1:31">
      <c r="A17" s="51" t="s">
        <v>154</v>
      </c>
      <c r="B17" s="51" t="s">
        <v>33</v>
      </c>
      <c r="C17" s="59">
        <v>0.1388888888888889</v>
      </c>
      <c r="D17" s="53">
        <v>69</v>
      </c>
      <c r="E17" s="53">
        <v>23</v>
      </c>
      <c r="F17" s="58">
        <v>567</v>
      </c>
      <c r="G17" s="27">
        <f t="shared" si="2"/>
        <v>24.891849177078843</v>
      </c>
      <c r="H17" s="27">
        <f t="shared" si="3"/>
        <v>121.56695129660255</v>
      </c>
      <c r="I17" s="78"/>
      <c r="J17" s="78"/>
      <c r="K17" s="28">
        <v>36</v>
      </c>
      <c r="L17" s="81">
        <v>24.892176763495705</v>
      </c>
      <c r="M17" s="81">
        <v>121.56708304348143</v>
      </c>
      <c r="N17" s="78"/>
      <c r="O17" s="79"/>
      <c r="P17" s="79"/>
      <c r="Q17" s="79"/>
      <c r="R17" s="79"/>
      <c r="S17" s="79"/>
      <c r="T17" s="79"/>
      <c r="U17" s="79"/>
      <c r="V17" s="148"/>
      <c r="W17" s="121"/>
      <c r="X17" s="148"/>
      <c r="Y17" s="121"/>
      <c r="Z17" s="148"/>
      <c r="AA17" s="121"/>
      <c r="AB17" s="149"/>
      <c r="AC17" s="121"/>
      <c r="AD17" s="121"/>
      <c r="AE17" s="121"/>
    </row>
    <row r="18" spans="1:31">
      <c r="A18" s="51" t="s">
        <v>156</v>
      </c>
      <c r="B18" s="51" t="s">
        <v>33</v>
      </c>
      <c r="C18" s="59">
        <v>0.29444444444444445</v>
      </c>
      <c r="D18" s="53">
        <v>76</v>
      </c>
      <c r="E18" s="53">
        <v>23</v>
      </c>
      <c r="F18" s="58">
        <v>510</v>
      </c>
      <c r="G18" s="27">
        <f t="shared" si="2"/>
        <v>24.891856354966794</v>
      </c>
      <c r="H18" s="27">
        <f t="shared" si="3"/>
        <v>121.56695471593849</v>
      </c>
      <c r="I18" s="78"/>
      <c r="J18" s="78"/>
      <c r="K18" s="78"/>
      <c r="L18" s="78"/>
      <c r="M18" s="78"/>
      <c r="N18" s="78"/>
      <c r="O18" s="79"/>
      <c r="P18" s="79"/>
      <c r="Q18" s="79"/>
      <c r="R18" s="79"/>
      <c r="S18" s="79"/>
      <c r="T18" s="79"/>
      <c r="U18" s="79"/>
      <c r="V18" s="148"/>
      <c r="W18" s="121"/>
      <c r="X18" s="148"/>
      <c r="Y18" s="121"/>
      <c r="Z18" s="148"/>
      <c r="AA18" s="121"/>
      <c r="AB18" s="149"/>
      <c r="AC18" s="121"/>
      <c r="AD18" s="121"/>
      <c r="AE18" s="121"/>
    </row>
    <row r="19" spans="1:31">
      <c r="A19" s="51" t="s">
        <v>158</v>
      </c>
      <c r="B19" s="60" t="s">
        <v>33</v>
      </c>
      <c r="C19" s="61">
        <v>0.70694444444444449</v>
      </c>
      <c r="D19" s="62">
        <v>358</v>
      </c>
      <c r="E19" s="62">
        <v>28</v>
      </c>
      <c r="F19" s="62">
        <v>103.4</v>
      </c>
      <c r="G19" s="27">
        <f t="shared" ref="G19:G20" si="4">DEGREES(ASIN(SIN(RADIANS($L$11))*COS(F19/637100008.8)+COS(RADIANS($L$11))*SIN(F19/637100008.8)*COS(RADIANS(MOD(D19+180, 360)))))</f>
        <v>24.891882012919652</v>
      </c>
      <c r="H19" s="27">
        <f t="shared" ref="H19:H20" si="5">DEGREES(
  RADIANS($M$11) + ATAN2(
    COS(F19/637100008.8) - SIN(RADIANS($L$11))*SIN(RADIANS(G19)), SIN(RADIANS(MOD(D19+180,360)))*SIN(F19/637100008.8)*COS(RADIANS($L$11))
  )
)</f>
        <v>121.56693115510365</v>
      </c>
      <c r="I19" s="78"/>
      <c r="J19" s="78"/>
      <c r="K19" s="78"/>
      <c r="L19" s="78"/>
      <c r="M19" s="78"/>
      <c r="N19" s="78"/>
      <c r="O19" s="79"/>
      <c r="P19" s="79"/>
      <c r="Q19" s="79"/>
      <c r="R19" s="79"/>
      <c r="S19" s="79"/>
      <c r="T19" s="79"/>
      <c r="U19" s="79"/>
      <c r="V19" s="148"/>
      <c r="W19" s="121"/>
      <c r="X19" s="148"/>
      <c r="Y19" s="121"/>
      <c r="Z19" s="148"/>
      <c r="AA19" s="121"/>
      <c r="AB19" s="149"/>
      <c r="AC19" s="121"/>
      <c r="AD19" s="121"/>
      <c r="AE19" s="121"/>
    </row>
    <row r="20" spans="1:31">
      <c r="A20" s="51" t="s">
        <v>162</v>
      </c>
      <c r="B20" s="51" t="s">
        <v>33</v>
      </c>
      <c r="C20" s="52">
        <v>0.1388888888888889</v>
      </c>
      <c r="D20" s="53">
        <v>354</v>
      </c>
      <c r="E20" s="53">
        <v>28</v>
      </c>
      <c r="F20" s="58">
        <v>73.3</v>
      </c>
      <c r="G20" s="27">
        <f t="shared" si="4"/>
        <v>24.89188475032477</v>
      </c>
      <c r="H20" s="27">
        <f t="shared" si="5"/>
        <v>121.56693155695912</v>
      </c>
      <c r="I20" s="78"/>
      <c r="J20" s="78"/>
      <c r="K20" s="78"/>
      <c r="L20" s="78"/>
      <c r="M20" s="78"/>
      <c r="N20" s="78"/>
      <c r="O20" s="11"/>
      <c r="P20" s="11"/>
      <c r="Q20" s="11"/>
      <c r="R20" s="11"/>
      <c r="S20" s="11"/>
      <c r="T20" s="11"/>
      <c r="U20" s="11"/>
      <c r="V20" s="146"/>
      <c r="W20" s="121"/>
      <c r="X20" s="146"/>
      <c r="Y20" s="121"/>
      <c r="Z20" s="146"/>
      <c r="AA20" s="121"/>
      <c r="AB20" s="154"/>
      <c r="AC20" s="121"/>
      <c r="AD20" s="121"/>
      <c r="AE20" s="121"/>
    </row>
    <row r="21" spans="1:31">
      <c r="A21" s="51" t="s">
        <v>163</v>
      </c>
      <c r="B21" s="51" t="s">
        <v>39</v>
      </c>
      <c r="C21" s="52">
        <v>0.60486111111111107</v>
      </c>
      <c r="D21" s="53">
        <v>241</v>
      </c>
      <c r="E21" s="53">
        <v>25</v>
      </c>
      <c r="F21" s="53">
        <v>148.80000000000001</v>
      </c>
      <c r="G21" s="27">
        <f>DEGREES(ASIN(SIN(RADIANS($L$8))*COS(F21/637100008.8)+COS(RADIANS($L$8))*SIN(F21/637100008.8)*COS(RADIANS(MOD(D21+180, 360)))))</f>
        <v>24.891960446470552</v>
      </c>
      <c r="H21" s="27">
        <f>DEGREES(
  RADIANS($M$8) + ATAN2(
    COS(F21/637100008.8) - SIN(RADIANS($L$8))*SIN(RADIANS(G21)), SIN(RADIANS(MOD(D21+180,360)))*SIN(F21/637100008.8)*COS(RADIANS($L$8))
  )
)</f>
        <v>121.56686455924837</v>
      </c>
      <c r="I21" s="78"/>
      <c r="J21" s="78"/>
      <c r="K21" s="78"/>
      <c r="L21" s="78"/>
      <c r="M21" s="78"/>
      <c r="N21" s="78"/>
      <c r="O21" s="11"/>
      <c r="P21" s="11"/>
      <c r="Q21" s="11"/>
      <c r="R21" s="11"/>
      <c r="S21" s="11"/>
      <c r="T21" s="11"/>
      <c r="U21" s="11"/>
      <c r="V21" s="146"/>
      <c r="W21" s="121"/>
      <c r="X21" s="146"/>
      <c r="Y21" s="121"/>
      <c r="Z21" s="146"/>
      <c r="AA21" s="121"/>
      <c r="AB21" s="154"/>
      <c r="AC21" s="121"/>
      <c r="AD21" s="121"/>
      <c r="AE21" s="121"/>
    </row>
    <row r="22" spans="1:31">
      <c r="A22" s="51" t="s">
        <v>165</v>
      </c>
      <c r="B22" s="51" t="s">
        <v>44</v>
      </c>
      <c r="C22" s="52">
        <v>0.61458333333333337</v>
      </c>
      <c r="D22" s="53">
        <v>171</v>
      </c>
      <c r="E22" s="53">
        <v>28</v>
      </c>
      <c r="F22" s="58">
        <v>168.3</v>
      </c>
      <c r="G22" s="27">
        <f t="shared" ref="G22:G23" si="6">DEGREES(ASIN(SIN(RADIANS($L$11))*COS(F22/637100008.8)+COS(RADIANS($L$11))*SIN(F22/637100008.8)*COS(RADIANS(MOD(D22+180, 360)))))</f>
        <v>24.891906255478503</v>
      </c>
      <c r="H22" s="27">
        <f t="shared" ref="H22:H23" si="7">DEGREES(
  RADIANS($M$11) + ATAN2(
    COS(F22/637100008.8) - SIN(RADIANS($L$11))*SIN(RADIANS(G22)), SIN(RADIANS(MOD(D22+180,360)))*SIN(F22/637100008.8)*COS(RADIANS($L$11))
  )
)</f>
        <v>121.5669281871329</v>
      </c>
      <c r="I22" s="78"/>
      <c r="J22" s="78"/>
      <c r="K22" s="78"/>
      <c r="L22" s="78"/>
      <c r="M22" s="78"/>
      <c r="N22" s="78"/>
      <c r="O22" s="11"/>
      <c r="P22" s="11"/>
      <c r="Q22" s="11"/>
      <c r="R22" s="11"/>
      <c r="S22" s="11"/>
      <c r="T22" s="11"/>
      <c r="U22" s="11"/>
      <c r="V22" s="146"/>
      <c r="W22" s="121"/>
      <c r="X22" s="146"/>
      <c r="Y22" s="121"/>
      <c r="Z22" s="146"/>
      <c r="AA22" s="121"/>
      <c r="AB22" s="154"/>
      <c r="AC22" s="121"/>
      <c r="AD22" s="121"/>
      <c r="AE22" s="121"/>
    </row>
    <row r="23" spans="1:31">
      <c r="A23" s="51"/>
      <c r="B23" s="51" t="s">
        <v>33</v>
      </c>
      <c r="C23" s="52">
        <v>0.625</v>
      </c>
      <c r="D23" s="53">
        <v>215</v>
      </c>
      <c r="E23" s="53">
        <v>28</v>
      </c>
      <c r="F23" s="58">
        <v>224.7</v>
      </c>
      <c r="G23" s="27">
        <f t="shared" si="6"/>
        <v>24.891907859464503</v>
      </c>
      <c r="H23" s="27">
        <f t="shared" si="7"/>
        <v>121.56694357503513</v>
      </c>
      <c r="I23" s="78"/>
      <c r="J23" s="78"/>
      <c r="K23" s="78"/>
      <c r="L23" s="78"/>
      <c r="M23" s="78"/>
      <c r="N23" s="78"/>
      <c r="O23" s="11"/>
      <c r="P23" s="11"/>
      <c r="Q23" s="11"/>
      <c r="R23" s="11"/>
      <c r="S23" s="11"/>
      <c r="T23" s="11"/>
      <c r="U23" s="11"/>
      <c r="V23" s="146"/>
      <c r="W23" s="121"/>
      <c r="X23" s="146"/>
      <c r="Y23" s="121"/>
      <c r="Z23" s="146"/>
      <c r="AA23" s="121"/>
      <c r="AB23" s="154"/>
      <c r="AC23" s="121"/>
      <c r="AD23" s="121"/>
      <c r="AE23" s="121"/>
    </row>
    <row r="24" spans="1:31">
      <c r="A24" s="51"/>
      <c r="B24" s="51" t="s">
        <v>23</v>
      </c>
      <c r="C24" s="56" t="s">
        <v>132</v>
      </c>
      <c r="D24" s="56" t="s">
        <v>132</v>
      </c>
      <c r="E24" s="56" t="s">
        <v>132</v>
      </c>
      <c r="F24" s="56" t="s">
        <v>132</v>
      </c>
      <c r="G24" s="79"/>
      <c r="H24" s="11"/>
      <c r="I24" s="78"/>
      <c r="J24" s="78"/>
      <c r="K24" s="78"/>
      <c r="L24" s="78"/>
      <c r="M24" s="78"/>
      <c r="N24" s="78"/>
      <c r="O24" s="11"/>
      <c r="P24" s="11"/>
      <c r="Q24" s="11"/>
      <c r="R24" s="11"/>
      <c r="S24" s="11"/>
      <c r="T24" s="11"/>
      <c r="U24" s="11"/>
      <c r="V24" s="146"/>
      <c r="W24" s="121"/>
      <c r="X24" s="146"/>
      <c r="Y24" s="121"/>
      <c r="Z24" s="146"/>
      <c r="AA24" s="121"/>
      <c r="AB24" s="154"/>
      <c r="AC24" s="121"/>
      <c r="AD24" s="121"/>
      <c r="AE24" s="121"/>
    </row>
    <row r="25" spans="1:31">
      <c r="A25" s="51"/>
      <c r="B25" s="51" t="s">
        <v>42</v>
      </c>
      <c r="C25" s="52">
        <v>0.64236111111111116</v>
      </c>
      <c r="D25" s="53">
        <v>302</v>
      </c>
      <c r="E25" s="53">
        <v>24</v>
      </c>
      <c r="F25" s="53">
        <v>297.10000000000002</v>
      </c>
      <c r="G25" s="27">
        <f>DEGREES(ASIN(SIN(RADIANS($L$7))*COS(F25/637100008.8)+COS(RADIANS($L$7))*SIN(F25/637100008.8)*COS(RADIANS(MOD(D25+180, 360)))))</f>
        <v>24.891893201117373</v>
      </c>
      <c r="H25" s="27">
        <f>DEGREES(
  RADIANS($M$7) + ATAN2(
    COS(F25/637100008.8) - SIN(RADIANS($L$7))*SIN(RADIANS(G25)), SIN(RADIANS(MOD(D25+180,360)))*SIN(F25/637100008.8)*COS(RADIANS($L$7))
  )
)</f>
        <v>121.56699051051521</v>
      </c>
      <c r="I25" s="78"/>
      <c r="J25" s="78"/>
      <c r="K25" s="78"/>
      <c r="L25" s="78"/>
      <c r="M25" s="78"/>
      <c r="N25" s="78"/>
      <c r="O25" s="11"/>
      <c r="P25" s="11"/>
      <c r="Q25" s="11"/>
      <c r="R25" s="11"/>
      <c r="S25" s="11"/>
      <c r="T25" s="11"/>
      <c r="U25" s="11"/>
      <c r="V25" s="146"/>
      <c r="W25" s="121"/>
      <c r="X25" s="146"/>
      <c r="Y25" s="121"/>
      <c r="Z25" s="146"/>
      <c r="AA25" s="121"/>
      <c r="AB25" s="154"/>
      <c r="AC25" s="121"/>
      <c r="AD25" s="121"/>
      <c r="AE25" s="121"/>
    </row>
    <row r="26" spans="1:31">
      <c r="A26" s="51"/>
      <c r="B26" s="51" t="s">
        <v>48</v>
      </c>
      <c r="C26" s="52">
        <v>0.65694444444444444</v>
      </c>
      <c r="D26" s="53">
        <v>152</v>
      </c>
      <c r="E26" s="53">
        <v>30</v>
      </c>
      <c r="F26" s="53">
        <v>168</v>
      </c>
      <c r="G26" s="27">
        <f>DEGREES(ASIN(SIN(RADIANS($L$13))*COS(F26/637100008.8)+COS(RADIANS($L$13))*SIN(F26/637100008.8)*COS(RADIANS(MOD(D26+180, 360)))))</f>
        <v>24.891854836240551</v>
      </c>
      <c r="H26" s="27">
        <f>DEGREES(
  RADIANS($M$13) + ATAN2(
    COS(F26/637100008.8) - SIN(RADIANS($L$13))*SIN(RADIANS(G26)), SIN(RADIANS(MOD(D26+180,360)))*SIN(F26/637100008.8)*COS(RADIANS($L$13))
  )
)</f>
        <v>121.56714949048282</v>
      </c>
      <c r="I26" s="78"/>
      <c r="J26" s="78"/>
      <c r="K26" s="78"/>
      <c r="L26" s="78"/>
      <c r="M26" s="78"/>
      <c r="N26" s="78"/>
      <c r="O26" s="11"/>
      <c r="P26" s="11"/>
      <c r="Q26" s="11"/>
      <c r="R26" s="11"/>
      <c r="S26" s="11"/>
      <c r="T26" s="11"/>
      <c r="U26" s="11"/>
      <c r="V26" s="146"/>
      <c r="W26" s="121"/>
      <c r="X26" s="146"/>
      <c r="Y26" s="121"/>
      <c r="Z26" s="146"/>
      <c r="AA26" s="121"/>
      <c r="AB26" s="154"/>
      <c r="AC26" s="121"/>
      <c r="AD26" s="121"/>
      <c r="AE26" s="121"/>
    </row>
    <row r="27" spans="1:31">
      <c r="A27" s="51"/>
      <c r="B27" s="51" t="s">
        <v>46</v>
      </c>
      <c r="C27" s="52">
        <v>0.6694444444444444</v>
      </c>
      <c r="D27" s="53">
        <v>106</v>
      </c>
      <c r="E27" s="53">
        <v>33</v>
      </c>
      <c r="F27" s="53">
        <v>1000</v>
      </c>
      <c r="G27" s="27">
        <f>DEGREES(ASIN(SIN(RADIANS($L$15))*COS(F27/637100008.8)+COS(RADIANS($L$15))*SIN(F27/637100008.8)*COS(RADIANS(MOD(D27+180, 360)))))</f>
        <v>24.891975820344754</v>
      </c>
      <c r="H27" s="27">
        <f>DEGREES(
  RADIANS($M$15) + ATAN2(
    COS(F27/637100008.8) - SIN(RADIANS($L$15))*SIN(RADIANS(G27)), SIN(RADIANS(MOD(D27+180,360)))*SIN(F27/637100008.8)*COS(RADIANS($L$15))
  )
)</f>
        <v>121.56694883578892</v>
      </c>
      <c r="I27" s="78"/>
      <c r="J27" s="78"/>
      <c r="K27" s="78"/>
      <c r="L27" s="78"/>
      <c r="M27" s="78"/>
      <c r="N27" s="78"/>
      <c r="O27" s="11"/>
      <c r="P27" s="11"/>
      <c r="Q27" s="11"/>
      <c r="R27" s="11"/>
      <c r="S27" s="11"/>
      <c r="T27" s="11"/>
      <c r="U27" s="11"/>
      <c r="V27" s="146"/>
      <c r="W27" s="121"/>
      <c r="X27" s="146"/>
      <c r="Y27" s="121"/>
      <c r="Z27" s="146"/>
      <c r="AA27" s="121"/>
      <c r="AB27" s="147"/>
      <c r="AC27" s="121"/>
      <c r="AD27" s="121"/>
      <c r="AE27" s="121"/>
    </row>
    <row r="28" spans="1:31">
      <c r="A28" s="65" t="s">
        <v>167</v>
      </c>
      <c r="B28" s="65" t="s">
        <v>46</v>
      </c>
      <c r="C28" s="66">
        <v>0.49305555555555558</v>
      </c>
      <c r="D28" s="56">
        <v>185</v>
      </c>
      <c r="E28" s="56">
        <v>21</v>
      </c>
      <c r="F28" s="56">
        <v>349.6</v>
      </c>
      <c r="G28" s="27">
        <f>DEGREES(ASIN(SIN(RADIANS($L$4))*COS(F28/637100008.8)+COS(RADIANS($L$4))*SIN(F28/637100008.8)*COS(RADIANS(MOD(D28+180, 360)))))</f>
        <v>24.891979260815489</v>
      </c>
      <c r="H28" s="27">
        <f>DEGREES(
  RADIANS($M$4) + ATAN2(
    COS(F28/637100008.8) - SIN(RADIANS($L$4))*SIN(RADIANS(G28)), SIN(RADIANS(MOD(D28+180,360)))*SIN(F28/637100008.8)*COS(RADIANS($L$4))
  )
)</f>
        <v>121.56694956265989</v>
      </c>
      <c r="I28" s="78"/>
      <c r="J28" s="78"/>
      <c r="K28" s="78"/>
      <c r="L28" s="78"/>
      <c r="M28" s="78"/>
      <c r="N28" s="78"/>
      <c r="O28" s="11"/>
      <c r="P28" s="11"/>
      <c r="Q28" s="11"/>
      <c r="R28" s="11"/>
      <c r="S28" s="11"/>
      <c r="T28" s="11"/>
      <c r="U28" s="11"/>
      <c r="V28" s="146"/>
      <c r="W28" s="121"/>
      <c r="X28" s="146"/>
      <c r="Y28" s="121"/>
      <c r="Z28" s="146"/>
      <c r="AA28" s="121"/>
      <c r="AB28" s="147"/>
      <c r="AC28" s="121"/>
      <c r="AD28" s="121"/>
      <c r="AE28" s="121"/>
    </row>
    <row r="29" spans="1:31">
      <c r="A29" s="51"/>
      <c r="B29" s="65" t="s">
        <v>39</v>
      </c>
      <c r="C29" s="66">
        <v>0.50347222222222221</v>
      </c>
      <c r="D29" s="56">
        <v>239</v>
      </c>
      <c r="E29" s="56">
        <v>25</v>
      </c>
      <c r="F29" s="56">
        <v>185.7</v>
      </c>
      <c r="G29" s="27">
        <f>DEGREES(ASIN(SIN(RADIANS($L$8))*COS(F29/637100008.8)+COS(RADIANS($L$8))*SIN(F29/637100008.8)*COS(RADIANS(MOD(D29+180, 360)))))</f>
        <v>24.891962560136736</v>
      </c>
      <c r="H29" s="27">
        <f>DEGREES(
  RADIANS($M$8) + ATAN2(
    COS(F29/637100008.8) - SIN(RADIANS($L$8))*SIN(RADIANS(G29)), SIN(RADIANS(MOD(D29+180,360)))*SIN(F29/637100008.8)*COS(RADIANS($L$8))
  )
)</f>
        <v>121.5668674375989</v>
      </c>
      <c r="I29" s="78"/>
      <c r="J29" s="78"/>
      <c r="K29" s="78"/>
      <c r="L29" s="78"/>
      <c r="M29" s="78"/>
      <c r="N29" s="78"/>
      <c r="O29" s="11"/>
      <c r="P29" s="11"/>
      <c r="Q29" s="11"/>
      <c r="R29" s="11"/>
      <c r="S29" s="11"/>
      <c r="T29" s="11"/>
      <c r="U29" s="11"/>
      <c r="V29" s="146"/>
      <c r="W29" s="121"/>
      <c r="X29" s="146"/>
      <c r="Y29" s="121"/>
      <c r="Z29" s="146"/>
      <c r="AA29" s="121"/>
      <c r="AB29" s="147"/>
      <c r="AC29" s="121"/>
      <c r="AD29" s="121"/>
      <c r="AE29" s="121"/>
    </row>
    <row r="30" spans="1:31">
      <c r="A30" s="51"/>
      <c r="B30" s="65" t="s">
        <v>42</v>
      </c>
      <c r="C30" s="66">
        <v>0.51249999999999996</v>
      </c>
      <c r="D30" s="56">
        <v>311</v>
      </c>
      <c r="E30" s="56">
        <v>24</v>
      </c>
      <c r="F30" s="56">
        <v>168</v>
      </c>
      <c r="G30" s="27">
        <f>DEGREES(ASIN(SIN(RADIANS($L$7))*COS(F30/637100008.8)+COS(RADIANS($L$7))*SIN(F30/637100008.8)*COS(RADIANS(MOD(D30+180, 360)))))</f>
        <v>24.891897447814106</v>
      </c>
      <c r="H30" s="27">
        <f>DEGREES(
  RADIANS($M$7) + ATAN2(
    COS(F30/637100008.8) - SIN(RADIANS($L$7))*SIN(RADIANS(G30)), SIN(RADIANS(MOD(D30+180,360)))*SIN(F30/637100008.8)*COS(RADIANS($L$7))
  )
)</f>
        <v>121.56697810150496</v>
      </c>
      <c r="I30" s="78"/>
      <c r="J30" s="78"/>
      <c r="K30" s="78"/>
      <c r="L30" s="78"/>
      <c r="M30" s="78"/>
      <c r="N30" s="78"/>
      <c r="O30" s="11"/>
      <c r="P30" s="11"/>
      <c r="Q30" s="11"/>
      <c r="R30" s="11"/>
      <c r="S30" s="11"/>
      <c r="T30" s="11"/>
      <c r="U30" s="11"/>
      <c r="V30" s="146"/>
      <c r="W30" s="121"/>
      <c r="X30" s="146"/>
      <c r="Y30" s="121"/>
      <c r="Z30" s="146"/>
      <c r="AA30" s="121"/>
      <c r="AB30" s="147"/>
      <c r="AC30" s="121"/>
      <c r="AD30" s="121"/>
      <c r="AE30" s="121"/>
    </row>
    <row r="31" spans="1:31">
      <c r="A31" s="51"/>
      <c r="B31" s="65" t="s">
        <v>33</v>
      </c>
      <c r="C31" s="66">
        <v>0.51736111111111116</v>
      </c>
      <c r="D31" s="56">
        <v>198</v>
      </c>
      <c r="E31" s="56">
        <v>28</v>
      </c>
      <c r="F31" s="56">
        <v>203</v>
      </c>
      <c r="G31" s="27">
        <f t="shared" ref="G31:G32" si="8">DEGREES(ASIN(SIN(RADIANS($L$11))*COS(F31/637100008.8)+COS(RADIANS($L$11))*SIN(F31/637100008.8)*COS(RADIANS(MOD(D31+180, 360)))))</f>
        <v>24.891908668945046</v>
      </c>
      <c r="H31" s="27">
        <f t="shared" ref="H31:H32" si="9">DEGREES(
  RADIANS($M$11) + ATAN2(
    COS(F31/637100008.8) - SIN(RADIANS($L$11))*SIN(RADIANS(G31)), SIN(RADIANS(MOD(D31+180,360)))*SIN(F31/637100008.8)*COS(RADIANS($L$11))
  )
)</f>
        <v>121.56693701656837</v>
      </c>
      <c r="I31" s="78"/>
      <c r="J31" s="78"/>
      <c r="K31" s="78"/>
      <c r="L31" s="78"/>
      <c r="M31" s="78"/>
      <c r="N31" s="78"/>
      <c r="O31" s="11"/>
      <c r="P31" s="11"/>
      <c r="Q31" s="11"/>
      <c r="R31" s="11"/>
      <c r="S31" s="11"/>
      <c r="T31" s="11"/>
      <c r="U31" s="11"/>
      <c r="V31" s="146"/>
      <c r="W31" s="121"/>
      <c r="X31" s="146"/>
      <c r="Y31" s="121"/>
      <c r="Z31" s="146"/>
      <c r="AA31" s="121"/>
      <c r="AB31" s="147"/>
      <c r="AC31" s="121"/>
      <c r="AD31" s="121"/>
      <c r="AE31" s="121"/>
    </row>
    <row r="32" spans="1:31">
      <c r="B32" s="65" t="s">
        <v>44</v>
      </c>
      <c r="C32" s="66">
        <v>0.51736111111111116</v>
      </c>
      <c r="D32" s="56">
        <v>201</v>
      </c>
      <c r="E32" s="56">
        <v>28</v>
      </c>
      <c r="F32" s="56">
        <v>171.5</v>
      </c>
      <c r="G32" s="27">
        <f t="shared" si="8"/>
        <v>24.891905705192098</v>
      </c>
      <c r="H32" s="27">
        <f t="shared" si="9"/>
        <v>121.5669368906234</v>
      </c>
      <c r="I32" s="78"/>
      <c r="J32" s="78"/>
      <c r="K32" s="78"/>
      <c r="L32" s="78"/>
      <c r="M32" s="78"/>
      <c r="N32" s="78"/>
      <c r="O32" s="11"/>
      <c r="P32" s="11"/>
      <c r="Q32" s="11"/>
      <c r="R32" s="11"/>
      <c r="S32" s="11"/>
      <c r="T32" s="11"/>
      <c r="U32" s="11"/>
      <c r="V32" s="146"/>
      <c r="W32" s="121"/>
      <c r="X32" s="146"/>
      <c r="Y32" s="121"/>
      <c r="Z32" s="146"/>
      <c r="AA32" s="121"/>
      <c r="AB32" s="147"/>
      <c r="AC32" s="121"/>
      <c r="AD32" s="121"/>
      <c r="AE32" s="121"/>
    </row>
    <row r="33" spans="1:31">
      <c r="A33" s="65" t="s">
        <v>168</v>
      </c>
      <c r="B33" s="65" t="s">
        <v>42</v>
      </c>
      <c r="C33" s="66">
        <v>0.30208333333333331</v>
      </c>
      <c r="D33" s="56">
        <v>328</v>
      </c>
      <c r="E33" s="56">
        <v>24</v>
      </c>
      <c r="F33" s="56">
        <v>289.3</v>
      </c>
      <c r="G33" s="27">
        <f>DEGREES(ASIN(SIN(RADIANS($L$7))*COS(F33/637100008.8)+COS(RADIANS($L$7))*SIN(F33/637100008.8)*COS(RADIANS(MOD(D33+180, 360)))))</f>
        <v>24.891885295964887</v>
      </c>
      <c r="H33" s="27">
        <f>DEGREES(
  RADIANS($M$7) + ATAN2(
    COS(F33/637100008.8) - SIN(RADIANS($L$7))*SIN(RADIANS(G33)), SIN(RADIANS(MOD(D33+180,360)))*SIN(F33/637100008.8)*COS(RADIANS($L$7))
  )
)</f>
        <v>121.56698073020036</v>
      </c>
      <c r="I33" s="78"/>
      <c r="J33" s="78"/>
      <c r="K33" s="78"/>
      <c r="L33" s="78"/>
      <c r="M33" s="78"/>
      <c r="N33" s="78"/>
      <c r="O33" s="11"/>
      <c r="P33" s="11"/>
      <c r="Q33" s="11"/>
      <c r="R33" s="11"/>
      <c r="S33" s="11"/>
      <c r="T33" s="11"/>
      <c r="U33" s="11"/>
      <c r="V33" s="146"/>
      <c r="W33" s="121"/>
      <c r="X33" s="146"/>
      <c r="Y33" s="121"/>
      <c r="Z33" s="146"/>
      <c r="AA33" s="121"/>
      <c r="AB33" s="147"/>
      <c r="AC33" s="121"/>
      <c r="AD33" s="121"/>
      <c r="AE33" s="121"/>
    </row>
    <row r="34" spans="1:31">
      <c r="A34" s="51"/>
      <c r="B34" s="65" t="s">
        <v>44</v>
      </c>
      <c r="C34" s="66">
        <v>0.31041666666666667</v>
      </c>
      <c r="D34" s="56">
        <v>223</v>
      </c>
      <c r="E34" s="56">
        <v>28</v>
      </c>
      <c r="F34" s="56">
        <v>134.5</v>
      </c>
      <c r="G34" s="27">
        <f t="shared" ref="G34:G35" si="10">DEGREES(ASIN(SIN(RADIANS($L$11))*COS(F34/637100008.8)+COS(RADIANS($L$11))*SIN(F34/637100008.8)*COS(RADIANS(MOD(D34+180, 360)))))</f>
        <v>24.891900152603231</v>
      </c>
      <c r="H34" s="27">
        <f t="shared" ref="H34:H35" si="11">DEGREES(
  RADIANS($M$11) + ATAN2(
    COS(F34/637100008.8) - SIN(RADIANS($L$11))*SIN(RADIANS(G34)), SIN(RADIANS(MOD(D34+180,360)))*SIN(F34/637100008.8)*COS(RADIANS($L$11))
  )
)</f>
        <v>121.56693989152357</v>
      </c>
      <c r="I34" s="78"/>
      <c r="J34" s="78"/>
      <c r="K34" s="78"/>
      <c r="L34" s="78"/>
      <c r="M34" s="78"/>
      <c r="N34" s="78"/>
      <c r="O34" s="11"/>
      <c r="P34" s="11"/>
      <c r="Q34" s="11"/>
      <c r="R34" s="11"/>
      <c r="S34" s="11"/>
      <c r="T34" s="11"/>
      <c r="U34" s="11"/>
      <c r="V34" s="146"/>
      <c r="W34" s="121"/>
      <c r="X34" s="146"/>
      <c r="Y34" s="121"/>
      <c r="Z34" s="146"/>
      <c r="AA34" s="121"/>
      <c r="AB34" s="147"/>
      <c r="AC34" s="121"/>
      <c r="AD34" s="121"/>
      <c r="AE34" s="121"/>
    </row>
    <row r="35" spans="1:31">
      <c r="A35" s="51"/>
      <c r="B35" s="65" t="s">
        <v>33</v>
      </c>
      <c r="C35" s="66">
        <v>0.31111111111111112</v>
      </c>
      <c r="D35" s="56">
        <v>224</v>
      </c>
      <c r="E35" s="56">
        <v>28</v>
      </c>
      <c r="F35" s="67">
        <v>193.4</v>
      </c>
      <c r="G35" s="27">
        <f t="shared" si="10"/>
        <v>24.891903817630201</v>
      </c>
      <c r="H35" s="27">
        <f t="shared" si="11"/>
        <v>121.56694411677732</v>
      </c>
      <c r="I35" s="78"/>
      <c r="J35" s="78"/>
      <c r="K35" s="78"/>
      <c r="L35" s="78"/>
      <c r="M35" s="78"/>
      <c r="N35" s="78"/>
      <c r="O35" s="11"/>
      <c r="P35" s="11"/>
      <c r="Q35" s="11"/>
      <c r="R35" s="11"/>
      <c r="S35" s="11"/>
      <c r="T35" s="11"/>
      <c r="U35" s="11"/>
      <c r="V35" s="146"/>
      <c r="W35" s="121"/>
      <c r="X35" s="146"/>
      <c r="Y35" s="121"/>
      <c r="Z35" s="146"/>
      <c r="AA35" s="121"/>
      <c r="AB35" s="147"/>
      <c r="AC35" s="121"/>
      <c r="AD35" s="121"/>
      <c r="AE35" s="121"/>
    </row>
    <row r="36" spans="1:31">
      <c r="A36" s="51"/>
      <c r="B36" s="65" t="s">
        <v>39</v>
      </c>
      <c r="C36" s="68">
        <v>0.33124999999999999</v>
      </c>
      <c r="D36" s="56">
        <v>221</v>
      </c>
      <c r="E36" s="56">
        <v>25</v>
      </c>
      <c r="F36" s="67">
        <v>192.2</v>
      </c>
      <c r="G36" s="27">
        <f>DEGREES(ASIN(SIN(RADIANS($L$8))*COS(F36/637100008.8)+COS(RADIANS($L$8))*SIN(F36/637100008.8)*COS(RADIANS(MOD(D36+180, 360)))))</f>
        <v>24.891967003919834</v>
      </c>
      <c r="H36" s="27">
        <f>DEGREES(
  RADIANS($M$8) + ATAN2(
    COS(F36/637100008.8) - SIN(RADIANS($L$8))*SIN(RADIANS(G36)), SIN(RADIANS(MOD(D36+180,360)))*SIN(F36/637100008.8)*COS(RADIANS($L$8))
  )
)</f>
        <v>121.56686415783562</v>
      </c>
      <c r="I36" s="78"/>
      <c r="J36" s="78"/>
      <c r="K36" s="78"/>
      <c r="L36" s="78"/>
      <c r="M36" s="78"/>
      <c r="N36" s="78"/>
      <c r="O36" s="11"/>
      <c r="P36" s="11"/>
      <c r="Q36" s="11"/>
      <c r="R36" s="11"/>
      <c r="S36" s="11"/>
      <c r="T36" s="11"/>
      <c r="U36" s="11"/>
      <c r="V36" s="146"/>
      <c r="W36" s="121"/>
      <c r="X36" s="146"/>
      <c r="Y36" s="121"/>
      <c r="Z36" s="146"/>
      <c r="AA36" s="121"/>
      <c r="AB36" s="147"/>
      <c r="AC36" s="121"/>
      <c r="AD36" s="121"/>
      <c r="AE36" s="121"/>
    </row>
    <row r="37" spans="1:31">
      <c r="A37" s="51"/>
      <c r="B37" s="65" t="s">
        <v>46</v>
      </c>
      <c r="C37" s="68">
        <v>0.34027777777777779</v>
      </c>
      <c r="D37" s="56">
        <v>196</v>
      </c>
      <c r="E37" s="56">
        <v>21</v>
      </c>
      <c r="F37" s="67">
        <v>402</v>
      </c>
      <c r="G37" s="27">
        <f>DEGREES(ASIN(SIN(RADIANS($L$4))*COS(F37/637100008.8)+COS(RADIANS($L$4))*SIN(F37/637100008.8)*COS(RADIANS(MOD(D37+180, 360)))))</f>
        <v>24.891982692404664</v>
      </c>
      <c r="H37" s="27">
        <f>DEGREES(
  RADIANS($M$4) + ATAN2(
    COS(F37/637100008.8) - SIN(RADIANS($L$4))*SIN(RADIANS(G37)), SIN(RADIANS(MOD(D37+180,360)))*SIN(F37/637100008.8)*COS(RADIANS($L$4))
  )
)</f>
        <v>121.56695752740245</v>
      </c>
      <c r="I37" s="78"/>
      <c r="J37" s="78"/>
      <c r="K37" s="78"/>
      <c r="L37" s="78"/>
      <c r="M37" s="78"/>
      <c r="N37" s="78"/>
      <c r="O37" s="11"/>
      <c r="P37" s="11"/>
      <c r="Q37" s="11"/>
      <c r="R37" s="11"/>
      <c r="S37" s="11"/>
      <c r="T37" s="11"/>
      <c r="U37" s="11"/>
      <c r="V37" s="146"/>
      <c r="W37" s="121"/>
      <c r="X37" s="146"/>
      <c r="Y37" s="121"/>
      <c r="Z37" s="146"/>
      <c r="AA37" s="121"/>
      <c r="AB37" s="147"/>
      <c r="AC37" s="121"/>
      <c r="AD37" s="121"/>
      <c r="AE37" s="121"/>
    </row>
    <row r="38" spans="1:31">
      <c r="A38" s="65" t="s">
        <v>182</v>
      </c>
      <c r="B38" s="65" t="s">
        <v>39</v>
      </c>
      <c r="C38" s="68">
        <v>0.46458333333333335</v>
      </c>
      <c r="D38" s="56">
        <v>110</v>
      </c>
      <c r="E38" s="56">
        <v>25</v>
      </c>
      <c r="F38" s="67">
        <v>144</v>
      </c>
      <c r="G38" s="27">
        <f>DEGREES(ASIN(SIN(RADIANS($L$8))*COS(F38/637100008.8)+COS(RADIANS($L$8))*SIN(F38/637100008.8)*COS(RADIANS(MOD(D38+180, 360)))))</f>
        <v>24.89195838803392</v>
      </c>
      <c r="H38" s="27">
        <f>DEGREES(
  RADIANS($M$8) + ATAN2(
    COS(F38/637100008.8) - SIN(RADIANS($L$8))*SIN(RADIANS(G38)), SIN(RADIANS(MOD(D38+180,360)))*SIN(F38/637100008.8)*COS(RADIANS($L$8))
  )
)</f>
        <v>121.56683824105501</v>
      </c>
      <c r="I38" s="78"/>
      <c r="J38" s="78"/>
      <c r="K38" s="78"/>
      <c r="L38" s="78"/>
      <c r="M38" s="78"/>
      <c r="N38" s="78"/>
      <c r="O38" s="11"/>
      <c r="P38" s="11"/>
      <c r="Q38" s="11"/>
      <c r="R38" s="11"/>
      <c r="S38" s="11"/>
      <c r="T38" s="11"/>
      <c r="U38" s="11"/>
      <c r="V38" s="146"/>
      <c r="W38" s="121"/>
      <c r="X38" s="146"/>
      <c r="Y38" s="121"/>
      <c r="Z38" s="146"/>
      <c r="AA38" s="121"/>
      <c r="AB38" s="147"/>
      <c r="AC38" s="121"/>
      <c r="AD38" s="121"/>
      <c r="AE38" s="121"/>
    </row>
    <row r="39" spans="1:31">
      <c r="A39" s="51"/>
      <c r="B39" s="65" t="s">
        <v>46</v>
      </c>
      <c r="C39" s="68">
        <v>0.47430555555555554</v>
      </c>
      <c r="D39" s="56">
        <v>192</v>
      </c>
      <c r="E39" s="56">
        <v>21</v>
      </c>
      <c r="F39" s="67">
        <v>325</v>
      </c>
      <c r="G39" s="27">
        <f>DEGREES(ASIN(SIN(RADIANS($L$4))*COS(F39/637100008.8)+COS(RADIANS($L$4))*SIN(F39/637100008.8)*COS(RADIANS(MOD(D39+180, 360)))))</f>
        <v>24.891976529423143</v>
      </c>
      <c r="H39" s="27">
        <f>DEGREES(
  RADIANS($M$4) + ATAN2(
    COS(F39/637100008.8) - SIN(RADIANS($L$4))*SIN(RADIANS(G39)), SIN(RADIANS(MOD(D39+180,360)))*SIN(F39/637100008.8)*COS(RADIANS($L$4))
  )
)</f>
        <v>121.56695324099822</v>
      </c>
      <c r="I39" s="78"/>
      <c r="J39" s="78"/>
      <c r="K39" s="78"/>
      <c r="L39" s="78"/>
      <c r="M39" s="78"/>
      <c r="N39" s="78"/>
      <c r="O39" s="11"/>
      <c r="P39" s="11"/>
      <c r="Q39" s="11"/>
      <c r="R39" s="11"/>
      <c r="S39" s="11"/>
      <c r="T39" s="11"/>
      <c r="U39" s="11"/>
      <c r="V39" s="146"/>
      <c r="W39" s="121"/>
      <c r="X39" s="146"/>
      <c r="Y39" s="121"/>
      <c r="Z39" s="146"/>
      <c r="AA39" s="121"/>
      <c r="AB39" s="147"/>
      <c r="AC39" s="121"/>
      <c r="AD39" s="121"/>
      <c r="AE39" s="121"/>
    </row>
    <row r="40" spans="1:31">
      <c r="A40" s="51"/>
      <c r="B40" s="65" t="s">
        <v>42</v>
      </c>
      <c r="C40" s="68">
        <v>0.47847222222222224</v>
      </c>
      <c r="D40" s="53">
        <v>174</v>
      </c>
      <c r="E40" s="53">
        <v>23</v>
      </c>
      <c r="F40" s="58">
        <v>288.7</v>
      </c>
      <c r="G40" s="27">
        <f>DEGREES(ASIN(SIN(RADIANS($L$6))*COS(F40/637100008.8)+COS(RADIANS($L$6))*SIN(F40/637100008.8)*COS(RADIANS(MOD(D40+180, 360)))))</f>
        <v>24.891893272003696</v>
      </c>
      <c r="H40" s="27">
        <f>DEGREES(
  RADIANS($M$6) + ATAN2(
    COS(F40/637100008.8) - SIN(RADIANS($L$6))*SIN(RADIANS(G40)), SIN(RADIANS(MOD(D40+180,360)))*SIN(F40/637100008.8)*COS(RADIANS($L$6))
  )
)</f>
        <v>121.56700078462873</v>
      </c>
      <c r="I40" s="78"/>
      <c r="J40" s="78"/>
      <c r="K40" s="78"/>
      <c r="L40" s="78"/>
      <c r="M40" s="78"/>
      <c r="N40" s="78"/>
      <c r="O40" s="11"/>
      <c r="P40" s="11"/>
      <c r="Q40" s="11"/>
      <c r="R40" s="11"/>
      <c r="S40" s="11"/>
      <c r="T40" s="11"/>
      <c r="U40" s="11"/>
      <c r="V40" s="146"/>
      <c r="W40" s="121"/>
      <c r="X40" s="146"/>
      <c r="Y40" s="121"/>
      <c r="Z40" s="146"/>
      <c r="AA40" s="121"/>
      <c r="AB40" s="147"/>
      <c r="AC40" s="121"/>
      <c r="AD40" s="121"/>
      <c r="AE40" s="121"/>
    </row>
    <row r="41" spans="1:31">
      <c r="A41" s="51"/>
      <c r="B41" s="65" t="s">
        <v>44</v>
      </c>
      <c r="C41" s="68">
        <v>0.48541666666666666</v>
      </c>
      <c r="D41" s="53">
        <v>78</v>
      </c>
      <c r="E41" s="53">
        <v>24</v>
      </c>
      <c r="F41" s="58">
        <v>240.4</v>
      </c>
      <c r="G41" s="27">
        <f>DEGREES(ASIN(SIN(RADIANS($L$7))*COS(F41/637100008.8)+COS(RADIANS($L$7))*SIN(F41/637100008.8)*COS(RADIANS(MOD(D41+180, 360)))))</f>
        <v>24.891902864961544</v>
      </c>
      <c r="H41" s="27">
        <f>DEGREES(
  RADIANS($M$7) + ATAN2(
    COS(F41/637100008.8) - SIN(RADIANS($L$7))*SIN(RADIANS(G41)), SIN(RADIANS(MOD(D41+180,360)))*SIN(F41/637100008.8)*COS(RADIANS($L$7))
  )
)</f>
        <v>121.56694221821766</v>
      </c>
      <c r="I41" s="78"/>
      <c r="J41" s="78"/>
      <c r="K41" s="78"/>
      <c r="L41" s="78"/>
      <c r="M41" s="78"/>
      <c r="N41" s="78"/>
      <c r="O41" s="79"/>
      <c r="P41" s="79"/>
      <c r="Q41" s="79"/>
      <c r="R41" s="79"/>
      <c r="S41" s="79"/>
      <c r="T41" s="79"/>
      <c r="U41" s="79"/>
      <c r="V41" s="148"/>
      <c r="W41" s="121"/>
      <c r="X41" s="148"/>
      <c r="Y41" s="121"/>
      <c r="Z41" s="148"/>
      <c r="AA41" s="121"/>
      <c r="AB41" s="149"/>
      <c r="AC41" s="121"/>
      <c r="AD41" s="121"/>
      <c r="AE41" s="121"/>
    </row>
    <row r="42" spans="1:31">
      <c r="A42" s="51" t="s">
        <v>165</v>
      </c>
      <c r="B42" s="65" t="s">
        <v>33</v>
      </c>
      <c r="C42" s="66">
        <v>0.49166666666666664</v>
      </c>
      <c r="D42" s="53">
        <v>299</v>
      </c>
      <c r="E42" s="53">
        <v>28</v>
      </c>
      <c r="F42" s="58">
        <v>292.60000000000002</v>
      </c>
      <c r="G42" s="27">
        <f>DEGREES(ASIN(SIN(RADIANS($L$11))*COS(F42/637100008.8)+COS(RADIANS($L$11))*SIN(F42/637100008.8)*COS(RADIANS(MOD(D42+180, 360)))))</f>
        <v>24.891878548885106</v>
      </c>
      <c r="H42" s="27">
        <f>DEGREES(
  RADIANS($M$11) + ATAN2(
    COS(F42/637100008.8) - SIN(RADIANS($L$11))*SIN(RADIANS(G42)), SIN(RADIANS(MOD(D42+180,360)))*SIN(F42/637100008.8)*COS(RADIANS($L$11))
  )
)</f>
        <v>121.56695616916151</v>
      </c>
      <c r="I42" s="78"/>
      <c r="J42" s="78"/>
      <c r="K42" s="78"/>
      <c r="L42" s="78"/>
      <c r="M42" s="78"/>
      <c r="N42" s="78"/>
      <c r="O42" s="79"/>
      <c r="P42" s="79"/>
      <c r="Q42" s="79"/>
      <c r="R42" s="79"/>
      <c r="S42" s="79"/>
      <c r="T42" s="79"/>
      <c r="U42" s="79"/>
      <c r="V42" s="148"/>
      <c r="W42" s="121"/>
      <c r="X42" s="148"/>
      <c r="Y42" s="121"/>
      <c r="Z42" s="148"/>
      <c r="AA42" s="121"/>
      <c r="AB42" s="149"/>
      <c r="AC42" s="121"/>
      <c r="AD42" s="121"/>
      <c r="AE42" s="121"/>
    </row>
    <row r="43" spans="1:31">
      <c r="A43" s="65" t="s">
        <v>188</v>
      </c>
      <c r="B43" s="65" t="s">
        <v>42</v>
      </c>
      <c r="C43" s="66">
        <v>0.1736111111111111</v>
      </c>
      <c r="D43" s="53">
        <v>222</v>
      </c>
      <c r="E43" s="53">
        <v>23</v>
      </c>
      <c r="F43" s="53">
        <v>126.8</v>
      </c>
      <c r="G43" s="27">
        <f t="shared" ref="G43:G44" si="12">DEGREES(ASIN(SIN(RADIANS($L$6))*COS(F43/637100008.8)+COS(RADIANS($L$6))*SIN(F43/637100008.8)*COS(RADIANS(MOD(D43+180, 360)))))</f>
        <v>24.891875925195468</v>
      </c>
      <c r="H43" s="27">
        <f t="shared" ref="H43:H44" si="13">DEGREES(
  RADIANS($M$6) + ATAN2(
    COS(F43/637100008.8) - SIN(RADIANS($L$6))*SIN(RADIANS(G43)), SIN(RADIANS(MOD(D43+180,360)))*SIN(F43/637100008.8)*COS(RADIANS($L$6))
  )
)</f>
        <v>121.56701218826277</v>
      </c>
      <c r="I43" s="78"/>
      <c r="J43" s="78"/>
      <c r="K43" s="78"/>
      <c r="L43" s="78"/>
      <c r="M43" s="78"/>
      <c r="N43" s="78"/>
      <c r="O43" s="79"/>
      <c r="P43" s="79"/>
      <c r="Q43" s="79"/>
      <c r="R43" s="79"/>
      <c r="S43" s="79"/>
      <c r="T43" s="79"/>
      <c r="U43" s="79"/>
      <c r="V43" s="148"/>
      <c r="W43" s="121"/>
      <c r="X43" s="148"/>
      <c r="Y43" s="121"/>
      <c r="Z43" s="148"/>
      <c r="AA43" s="121"/>
      <c r="AB43" s="150"/>
      <c r="AC43" s="121"/>
      <c r="AD43" s="121"/>
      <c r="AE43" s="121"/>
    </row>
    <row r="44" spans="1:31">
      <c r="A44" s="51"/>
      <c r="B44" s="65" t="s">
        <v>33</v>
      </c>
      <c r="C44" s="66">
        <v>0.18194444444444444</v>
      </c>
      <c r="D44" s="53">
        <v>104</v>
      </c>
      <c r="E44" s="53">
        <v>23</v>
      </c>
      <c r="F44" s="53">
        <v>25.6</v>
      </c>
      <c r="G44" s="27">
        <f t="shared" si="12"/>
        <v>24.891868007787505</v>
      </c>
      <c r="H44" s="27">
        <f t="shared" si="13"/>
        <v>121.56700131382965</v>
      </c>
      <c r="I44" s="78"/>
      <c r="J44" s="78"/>
      <c r="K44" s="78"/>
      <c r="L44" s="78"/>
      <c r="M44" s="78"/>
      <c r="N44" s="78"/>
      <c r="O44" s="11"/>
      <c r="P44" s="11"/>
      <c r="Q44" s="11"/>
      <c r="R44" s="11"/>
      <c r="S44" s="11"/>
      <c r="T44" s="11"/>
      <c r="U44" s="11"/>
      <c r="V44" s="146"/>
      <c r="W44" s="121"/>
      <c r="X44" s="146"/>
      <c r="Y44" s="121"/>
      <c r="Z44" s="146"/>
      <c r="AA44" s="121"/>
      <c r="AB44" s="147"/>
      <c r="AC44" s="121"/>
      <c r="AD44" s="121"/>
      <c r="AE44" s="121"/>
    </row>
    <row r="45" spans="1:31">
      <c r="A45" s="51" t="s">
        <v>165</v>
      </c>
      <c r="B45" s="65" t="s">
        <v>44</v>
      </c>
      <c r="C45" s="66">
        <v>0.18680555555555556</v>
      </c>
      <c r="D45" s="53">
        <v>108</v>
      </c>
      <c r="E45" s="53">
        <v>24</v>
      </c>
      <c r="F45" s="58">
        <v>145.19999999999999</v>
      </c>
      <c r="G45" s="27">
        <f>DEGREES(ASIN(SIN(RADIANS($L$7))*COS(F45/637100008.8)+COS(RADIANS($L$7))*SIN(F45/637100008.8)*COS(RADIANS(MOD(D45+180, 360)))))</f>
        <v>24.891911395139392</v>
      </c>
      <c r="H45" s="27">
        <f>DEGREES(
  RADIANS($M$7) + ATAN2(
    COS(F45/637100008.8) - SIN(RADIANS($L$7))*SIN(RADIANS(G45)), SIN(RADIANS(MOD(D45+180,360)))*SIN(F45/637100008.8)*COS(RADIANS($L$7))
  )
)</f>
        <v>121.56695184028379</v>
      </c>
      <c r="I45" s="78"/>
      <c r="J45" s="78"/>
      <c r="K45" s="78"/>
      <c r="L45" s="78"/>
      <c r="M45" s="78"/>
      <c r="N45" s="78"/>
      <c r="O45" s="11"/>
      <c r="P45" s="11"/>
      <c r="Q45" s="11"/>
      <c r="R45" s="11"/>
      <c r="S45" s="11"/>
      <c r="T45" s="11"/>
      <c r="U45" s="11"/>
      <c r="V45" s="146"/>
      <c r="W45" s="121"/>
      <c r="X45" s="146"/>
      <c r="Y45" s="121"/>
      <c r="Z45" s="146"/>
      <c r="AA45" s="121"/>
      <c r="AB45" s="147"/>
      <c r="AC45" s="121"/>
      <c r="AD45" s="121"/>
      <c r="AE45" s="121"/>
    </row>
    <row r="46" spans="1:31">
      <c r="A46" s="51"/>
      <c r="B46" s="65" t="s">
        <v>39</v>
      </c>
      <c r="C46" s="66">
        <v>0.19375000000000001</v>
      </c>
      <c r="D46" s="53">
        <v>197</v>
      </c>
      <c r="E46" s="53">
        <v>25</v>
      </c>
      <c r="F46" s="58">
        <v>321.10000000000002</v>
      </c>
      <c r="G46" s="27">
        <f>DEGREES(ASIN(SIN(RADIANS($L$8))*COS(F46/637100008.8)+COS(RADIANS($L$8))*SIN(F46/637100008.8)*COS(RADIANS(MOD(D46+180, 360)))))</f>
        <v>24.891981574213734</v>
      </c>
      <c r="H46" s="27">
        <f>DEGREES(
  RADIANS($M$8) + ATAN2(
    COS(F46/637100008.8) - SIN(RADIANS($L$8))*SIN(RADIANS(G46)), SIN(RADIANS(MOD(D46+180,360)))*SIN(F46/637100008.8)*COS(RADIANS($L$8))
  )
)</f>
        <v>121.56686096407189</v>
      </c>
      <c r="I46" s="78"/>
      <c r="J46" s="78"/>
      <c r="K46" s="78"/>
      <c r="L46" s="78"/>
      <c r="M46" s="78"/>
      <c r="N46" s="78"/>
      <c r="O46" s="79"/>
      <c r="P46" s="79"/>
      <c r="Q46" s="79"/>
      <c r="R46" s="79"/>
      <c r="S46" s="79"/>
      <c r="T46" s="79"/>
      <c r="U46" s="79"/>
      <c r="V46" s="148"/>
      <c r="W46" s="121"/>
      <c r="X46" s="148"/>
      <c r="Y46" s="121"/>
      <c r="Z46" s="148"/>
      <c r="AA46" s="121"/>
      <c r="AB46" s="149"/>
      <c r="AC46" s="121"/>
      <c r="AD46" s="121"/>
      <c r="AE46" s="121"/>
    </row>
    <row r="47" spans="1:31">
      <c r="A47" s="51"/>
      <c r="B47" s="65" t="s">
        <v>46</v>
      </c>
      <c r="C47" s="66">
        <v>0.1986111111111111</v>
      </c>
      <c r="D47" s="53">
        <v>162</v>
      </c>
      <c r="E47" s="53">
        <v>21</v>
      </c>
      <c r="F47" s="58">
        <v>397.5</v>
      </c>
      <c r="G47" s="27">
        <f t="shared" ref="G47:G48" si="14">DEGREES(ASIN(SIN(RADIANS($L$4))*COS(F47/637100008.8)+COS(RADIANS($L$4))*SIN(F47/637100008.8)*COS(RADIANS(MOD(D47+180, 360)))))</f>
        <v>24.891981938571938</v>
      </c>
      <c r="H47" s="27">
        <f t="shared" ref="H47:H48" si="15">DEGREES(
  RADIANS($M$4) + ATAN2(
    COS(F47/637100008.8) - SIN(RADIANS($L$4))*SIN(RADIANS(G47)), SIN(RADIANS(MOD(D47+180,360)))*SIN(F47/637100008.8)*COS(RADIANS($L$4))
  )
)</f>
        <v>121.56693436377719</v>
      </c>
      <c r="I47" s="78"/>
      <c r="J47" s="78"/>
      <c r="K47" s="78"/>
      <c r="L47" s="78"/>
      <c r="M47" s="78"/>
      <c r="N47" s="78"/>
      <c r="O47" s="79"/>
      <c r="P47" s="79"/>
      <c r="Q47" s="79"/>
      <c r="R47" s="79"/>
      <c r="S47" s="79"/>
      <c r="T47" s="79"/>
      <c r="U47" s="79"/>
      <c r="V47" s="148"/>
      <c r="W47" s="121"/>
      <c r="X47" s="148"/>
      <c r="Y47" s="121"/>
      <c r="Z47" s="148"/>
      <c r="AA47" s="121"/>
      <c r="AB47" s="149"/>
      <c r="AC47" s="121"/>
      <c r="AD47" s="121"/>
      <c r="AE47" s="121"/>
    </row>
    <row r="48" spans="1:31">
      <c r="A48" s="65" t="s">
        <v>193</v>
      </c>
      <c r="B48" s="65" t="s">
        <v>46</v>
      </c>
      <c r="C48" s="52">
        <v>0.25208333333333333</v>
      </c>
      <c r="D48" s="53">
        <v>162</v>
      </c>
      <c r="E48" s="53">
        <v>21</v>
      </c>
      <c r="F48" s="53">
        <v>397.5</v>
      </c>
      <c r="G48" s="27">
        <f t="shared" si="14"/>
        <v>24.891981938571938</v>
      </c>
      <c r="H48" s="27">
        <f t="shared" si="15"/>
        <v>121.56693436377719</v>
      </c>
      <c r="I48" s="78"/>
      <c r="J48" s="78"/>
      <c r="K48" s="78"/>
      <c r="L48" s="78"/>
      <c r="M48" s="78"/>
      <c r="N48" s="78"/>
      <c r="O48" s="79"/>
      <c r="P48" s="79"/>
      <c r="Q48" s="79"/>
      <c r="R48" s="79"/>
      <c r="S48" s="79"/>
      <c r="T48" s="79"/>
      <c r="U48" s="79"/>
      <c r="V48" s="148"/>
      <c r="W48" s="121"/>
      <c r="X48" s="148"/>
      <c r="Y48" s="121"/>
      <c r="Z48" s="148"/>
      <c r="AA48" s="121"/>
      <c r="AB48" s="150"/>
      <c r="AC48" s="121"/>
      <c r="AD48" s="121"/>
      <c r="AE48" s="121"/>
    </row>
    <row r="49" spans="1:31">
      <c r="A49" s="51"/>
      <c r="B49" s="65" t="s">
        <v>39</v>
      </c>
      <c r="C49" s="52">
        <v>0.25694444444444442</v>
      </c>
      <c r="D49" s="53">
        <v>197</v>
      </c>
      <c r="E49" s="53">
        <v>25</v>
      </c>
      <c r="F49" s="53">
        <v>321.10000000000002</v>
      </c>
      <c r="G49" s="27">
        <f>DEGREES(ASIN(SIN(RADIANS($L$8))*COS(F49/637100008.8)+COS(RADIANS($L$8))*SIN(F49/637100008.8)*COS(RADIANS(MOD(D49+180, 360)))))</f>
        <v>24.891981574213734</v>
      </c>
      <c r="H49" s="27">
        <f>DEGREES(
  RADIANS($M$8) + ATAN2(
    COS(F49/637100008.8) - SIN(RADIANS($L$8))*SIN(RADIANS(G49)), SIN(RADIANS(MOD(D49+180,360)))*SIN(F49/637100008.8)*COS(RADIANS($L$8))
  )
)</f>
        <v>121.56686096407189</v>
      </c>
      <c r="I49" s="78"/>
      <c r="J49" s="78"/>
      <c r="K49" s="78"/>
      <c r="L49" s="78"/>
      <c r="M49" s="78"/>
      <c r="N49" s="78"/>
      <c r="O49" s="79"/>
      <c r="P49" s="79"/>
      <c r="Q49" s="79"/>
      <c r="R49" s="79"/>
      <c r="S49" s="79"/>
      <c r="T49" s="79"/>
      <c r="U49" s="79"/>
      <c r="V49" s="148"/>
      <c r="W49" s="121"/>
      <c r="X49" s="148"/>
      <c r="Y49" s="121"/>
      <c r="Z49" s="148"/>
      <c r="AA49" s="121"/>
      <c r="AB49" s="149"/>
      <c r="AC49" s="121"/>
      <c r="AD49" s="121"/>
      <c r="AE49" s="121"/>
    </row>
    <row r="50" spans="1:31">
      <c r="A50" s="51"/>
      <c r="B50" s="65" t="s">
        <v>44</v>
      </c>
      <c r="C50" s="52">
        <v>0.25972222222222224</v>
      </c>
      <c r="D50" s="53">
        <v>108</v>
      </c>
      <c r="E50" s="53">
        <v>24</v>
      </c>
      <c r="F50" s="53">
        <v>145.19999999999999</v>
      </c>
      <c r="G50" s="27">
        <f>DEGREES(ASIN(SIN(RADIANS($L$7))*COS(F50/637100008.8)+COS(RADIANS($L$7))*SIN(F50/637100008.8)*COS(RADIANS(MOD(D50+180, 360)))))</f>
        <v>24.891911395139392</v>
      </c>
      <c r="H50" s="27">
        <f>DEGREES(
  RADIANS($M$7) + ATAN2(
    COS(F50/637100008.8) - SIN(RADIANS($L$7))*SIN(RADIANS(G50)), SIN(RADIANS(MOD(D50+180,360)))*SIN(F50/637100008.8)*COS(RADIANS($L$7))
  )
)</f>
        <v>121.56695184028379</v>
      </c>
      <c r="I50" s="78"/>
      <c r="J50" s="78"/>
      <c r="K50" s="78"/>
      <c r="L50" s="78"/>
      <c r="M50" s="78"/>
      <c r="N50" s="78"/>
      <c r="O50" s="79"/>
      <c r="P50" s="79"/>
      <c r="Q50" s="79"/>
      <c r="R50" s="79"/>
      <c r="S50" s="79"/>
      <c r="T50" s="79"/>
      <c r="U50" s="79"/>
      <c r="V50" s="148"/>
      <c r="W50" s="121"/>
      <c r="X50" s="148"/>
      <c r="Y50" s="121"/>
      <c r="Z50" s="148"/>
      <c r="AA50" s="121"/>
      <c r="AB50" s="149"/>
      <c r="AC50" s="121"/>
      <c r="AD50" s="121"/>
      <c r="AE50" s="121"/>
    </row>
    <row r="51" spans="1:31">
      <c r="A51" s="51"/>
      <c r="B51" s="65" t="s">
        <v>33</v>
      </c>
      <c r="C51" s="35" t="s">
        <v>199</v>
      </c>
      <c r="D51" s="53">
        <v>78</v>
      </c>
      <c r="E51" s="53">
        <v>23</v>
      </c>
      <c r="F51" s="53">
        <v>11</v>
      </c>
      <c r="G51" s="27">
        <f t="shared" ref="G51:G52" si="16">DEGREES(ASIN(SIN(RADIANS($L$6))*COS(F51/637100008.8)+COS(RADIANS($L$6))*SIN(F51/637100008.8)*COS(RADIANS(MOD(D51+180, 360)))))</f>
        <v>24.891867245142205</v>
      </c>
      <c r="H51" s="27">
        <f t="shared" ref="H51:H52" si="17">DEGREES(
  RADIANS($M$6) + ATAN2(
    COS(F51/637100008.8) - SIN(RADIANS($L$6))*SIN(RADIANS(G51)), SIN(RADIANS(MOD(D51+180,360)))*SIN(F51/637100008.8)*COS(RADIANS($L$6))
  )
)</f>
        <v>121.56700270974497</v>
      </c>
      <c r="I51" s="78"/>
      <c r="J51" s="78"/>
      <c r="K51" s="78"/>
      <c r="L51" s="78"/>
      <c r="M51" s="78"/>
      <c r="N51" s="78"/>
      <c r="O51" s="79"/>
      <c r="P51" s="79"/>
      <c r="Q51" s="79"/>
      <c r="R51" s="79"/>
      <c r="S51" s="79"/>
      <c r="T51" s="79"/>
      <c r="U51" s="79"/>
      <c r="V51" s="148"/>
      <c r="W51" s="121"/>
      <c r="X51" s="148"/>
      <c r="Y51" s="121"/>
      <c r="Z51" s="148"/>
      <c r="AA51" s="121"/>
      <c r="AB51" s="149"/>
      <c r="AC51" s="121"/>
      <c r="AD51" s="121"/>
      <c r="AE51" s="121"/>
    </row>
    <row r="52" spans="1:31">
      <c r="A52" s="51"/>
      <c r="B52" s="65" t="s">
        <v>42</v>
      </c>
      <c r="C52" s="52">
        <v>0.26874999999999999</v>
      </c>
      <c r="D52" s="53">
        <v>215</v>
      </c>
      <c r="E52" s="53">
        <v>23</v>
      </c>
      <c r="F52" s="53">
        <v>134.5</v>
      </c>
      <c r="G52" s="27">
        <f t="shared" si="16"/>
        <v>24.891877359180519</v>
      </c>
      <c r="H52" s="27">
        <f t="shared" si="17"/>
        <v>121.5670114248955</v>
      </c>
      <c r="I52" s="78"/>
      <c r="J52" s="78"/>
      <c r="K52" s="78"/>
      <c r="L52" s="78"/>
      <c r="M52" s="78"/>
      <c r="N52" s="78"/>
      <c r="O52" s="79"/>
      <c r="P52" s="79"/>
      <c r="Q52" s="79"/>
      <c r="R52" s="79"/>
      <c r="S52" s="79"/>
      <c r="T52" s="79"/>
      <c r="U52" s="79"/>
      <c r="V52" s="148"/>
      <c r="W52" s="121"/>
      <c r="X52" s="148"/>
      <c r="Y52" s="121"/>
      <c r="Z52" s="148"/>
      <c r="AA52" s="121"/>
      <c r="AB52" s="150"/>
      <c r="AC52" s="121"/>
      <c r="AD52" s="121"/>
      <c r="AE52" s="121"/>
    </row>
    <row r="53" spans="1:31">
      <c r="A53" s="65" t="s">
        <v>202</v>
      </c>
      <c r="B53" s="65" t="s">
        <v>39</v>
      </c>
      <c r="C53" s="52">
        <v>0.41736111111111113</v>
      </c>
      <c r="D53" s="53">
        <v>206</v>
      </c>
      <c r="E53" s="53">
        <v>25</v>
      </c>
      <c r="F53" s="53">
        <v>449.3</v>
      </c>
      <c r="G53" s="27">
        <f>DEGREES(ASIN(SIN(RADIANS($L$8))*COS(F53/637100008.8)+COS(RADIANS($L$8))*SIN(F53/637100008.8)*COS(RADIANS(MOD(D53+180, 360)))))</f>
        <v>24.891990275932287</v>
      </c>
      <c r="H53" s="27">
        <f>DEGREES(
  RADIANS($M$8) + ATAN2(
    COS(F53/637100008.8) - SIN(RADIANS($L$8))*SIN(RADIANS(G53)), SIN(RADIANS(MOD(D53+180,360)))*SIN(F53/637100008.8)*COS(RADIANS($L$8))
  )
)</f>
        <v>121.56687118360942</v>
      </c>
      <c r="I53" s="78"/>
      <c r="J53" s="78"/>
      <c r="K53" s="78"/>
      <c r="L53" s="78"/>
      <c r="M53" s="78"/>
      <c r="N53" s="78"/>
      <c r="O53" s="79"/>
      <c r="P53" s="79"/>
      <c r="Q53" s="79"/>
      <c r="R53" s="79"/>
      <c r="S53" s="79"/>
      <c r="T53" s="79"/>
      <c r="U53" s="79"/>
      <c r="V53" s="148"/>
      <c r="W53" s="121"/>
      <c r="X53" s="148"/>
      <c r="Y53" s="121"/>
      <c r="Z53" s="148"/>
      <c r="AA53" s="121"/>
      <c r="AB53" s="150"/>
      <c r="AC53" s="121"/>
      <c r="AD53" s="121"/>
      <c r="AE53" s="121"/>
    </row>
    <row r="54" spans="1:31">
      <c r="A54" s="51"/>
      <c r="B54" s="65" t="s">
        <v>46</v>
      </c>
      <c r="C54" s="52">
        <v>0.44097222222222221</v>
      </c>
      <c r="D54" s="53">
        <v>304</v>
      </c>
      <c r="E54" s="53">
        <v>21</v>
      </c>
      <c r="F54" s="53">
        <v>222.5</v>
      </c>
      <c r="G54" s="27">
        <f>DEGREES(ASIN(SIN(RADIANS($L$4))*COS(F54/637100008.8)+COS(RADIANS($L$4))*SIN(F54/637100008.8)*COS(RADIANS(MOD(D54+180, 360)))))</f>
        <v>24.891936750774136</v>
      </c>
      <c r="H54" s="27">
        <f>DEGREES(
  RADIANS($M$4) + ATAN2(
    COS(F54/637100008.8) - SIN(RADIANS($L$4))*SIN(RADIANS(G54)), SIN(RADIANS(MOD(D54+180,360)))*SIN(F54/637100008.8)*COS(RADIANS($L$4))
  )
)</f>
        <v>121.56696482967739</v>
      </c>
      <c r="I54" s="78"/>
      <c r="J54" s="78"/>
      <c r="K54" s="78"/>
      <c r="L54" s="78"/>
      <c r="M54" s="78"/>
      <c r="N54" s="78"/>
      <c r="O54" s="11"/>
      <c r="P54" s="11"/>
      <c r="Q54" s="11"/>
      <c r="R54" s="11"/>
      <c r="S54" s="11"/>
      <c r="T54" s="11"/>
      <c r="U54" s="11"/>
      <c r="V54" s="146"/>
      <c r="W54" s="121"/>
      <c r="X54" s="148"/>
      <c r="Y54" s="121"/>
      <c r="Z54" s="148"/>
      <c r="AA54" s="121"/>
      <c r="AB54" s="149"/>
      <c r="AC54" s="121"/>
      <c r="AD54" s="121"/>
      <c r="AE54" s="121"/>
    </row>
    <row r="55" spans="1:31">
      <c r="A55" s="51"/>
      <c r="B55" s="65" t="s">
        <v>44</v>
      </c>
      <c r="C55" s="52">
        <v>0.44722222222222224</v>
      </c>
      <c r="D55" s="53">
        <v>102</v>
      </c>
      <c r="E55" s="53">
        <v>24</v>
      </c>
      <c r="F55" s="53">
        <v>307</v>
      </c>
      <c r="G55" s="27">
        <f>DEGREES(ASIN(SIN(RADIANS($L$7))*COS(F55/637100008.8)+COS(RADIANS($L$7))*SIN(F55/637100008.8)*COS(RADIANS(MOD(D55+180, 360)))))</f>
        <v>24.891913100216762</v>
      </c>
      <c r="H55" s="27">
        <f>DEGREES(
  RADIANS($M$7) + ATAN2(
    COS(F55/637100008.8) - SIN(RADIANS($L$7))*SIN(RADIANS(G55)), SIN(RADIANS(MOD(D55+180,360)))*SIN(F55/637100008.8)*COS(RADIANS($L$7))
  )
)</f>
        <v>121.56693575963884</v>
      </c>
      <c r="I55" s="78"/>
      <c r="J55" s="78"/>
      <c r="K55" s="78"/>
      <c r="L55" s="78"/>
      <c r="M55" s="78"/>
      <c r="N55" s="78"/>
      <c r="O55" s="11"/>
      <c r="P55" s="11"/>
      <c r="Q55" s="11"/>
      <c r="R55" s="11"/>
      <c r="S55" s="11"/>
      <c r="T55" s="11"/>
      <c r="U55" s="11"/>
      <c r="V55" s="146"/>
      <c r="W55" s="121"/>
      <c r="X55" s="148"/>
      <c r="Y55" s="121"/>
      <c r="Z55" s="148"/>
      <c r="AA55" s="121"/>
      <c r="AB55" s="149"/>
      <c r="AC55" s="121"/>
      <c r="AD55" s="121"/>
      <c r="AE55" s="121"/>
    </row>
    <row r="56" spans="1:31">
      <c r="A56" s="51"/>
      <c r="B56" s="65" t="s">
        <v>33</v>
      </c>
      <c r="C56" s="52">
        <v>0.45347222222222222</v>
      </c>
      <c r="D56" s="53">
        <v>134</v>
      </c>
      <c r="E56" s="53">
        <v>23</v>
      </c>
      <c r="F56" s="53">
        <v>258</v>
      </c>
      <c r="G56" s="27">
        <f>DEGREES(ASIN(SIN(RADIANS($L$6))*COS(F56/637100008.8)+COS(RADIANS($L$6))*SIN(F56/637100008.8)*COS(RADIANS(MOD(D56+180, 360)))))</f>
        <v>24.891883568627332</v>
      </c>
      <c r="H56" s="27">
        <f>DEGREES(
  RADIANS($M$6) + ATAN2(
    COS(F56/637100008.8) - SIN(RADIANS($L$6))*SIN(RADIANS(G56)), SIN(RADIANS(MOD(D56+180,360)))*SIN(F56/637100008.8)*COS(RADIANS($L$6))
  )
)</f>
        <v>121.56698537672729</v>
      </c>
      <c r="I56" s="78"/>
      <c r="J56" s="78"/>
      <c r="K56" s="78"/>
      <c r="L56" s="78"/>
      <c r="M56" s="78"/>
      <c r="N56" s="78"/>
      <c r="O56" s="79"/>
      <c r="P56" s="79"/>
      <c r="Q56" s="79"/>
      <c r="R56" s="79"/>
      <c r="S56" s="79"/>
      <c r="T56" s="79"/>
      <c r="U56" s="79"/>
      <c r="V56" s="148"/>
      <c r="W56" s="121"/>
      <c r="X56" s="148"/>
      <c r="Y56" s="121"/>
      <c r="Z56" s="148"/>
      <c r="AA56" s="121"/>
      <c r="AB56" s="149"/>
      <c r="AC56" s="121"/>
      <c r="AD56" s="121"/>
      <c r="AE56" s="121"/>
    </row>
    <row r="57" spans="1:31">
      <c r="A57" s="51"/>
      <c r="B57" s="65" t="s">
        <v>42</v>
      </c>
      <c r="C57" s="52">
        <v>0.4597222222222222</v>
      </c>
      <c r="D57" s="53">
        <v>264</v>
      </c>
      <c r="E57" s="53">
        <v>22</v>
      </c>
      <c r="F57" s="53">
        <v>29.5</v>
      </c>
      <c r="G57" s="27">
        <f>DEGREES(ASIN(SIN(RADIANS($L$5))*COS(F57/637100008.8)+COS(RADIANS($L$5))*SIN(F57/637100008.8)*COS(RADIANS(MOD(D57+180, 360)))))</f>
        <v>24.891855648615053</v>
      </c>
      <c r="H57" s="27">
        <f>DEGREES(
  RADIANS($M$5) + ATAN2(
    COS(F57/637100008.8) - SIN(RADIANS($L$5))*SIN(RADIANS(G57)), SIN(RADIANS(MOD(D57+180,360)))*SIN(F57/637100008.8)*COS(RADIANS($L$5))
  )
)</f>
        <v>121.56701468655262</v>
      </c>
      <c r="I57" s="78"/>
      <c r="J57" s="78"/>
      <c r="K57" s="78"/>
      <c r="L57" s="78"/>
      <c r="M57" s="78"/>
      <c r="N57" s="78"/>
      <c r="O57" s="79"/>
      <c r="P57" s="79"/>
      <c r="Q57" s="79"/>
      <c r="R57" s="79"/>
      <c r="S57" s="79"/>
      <c r="T57" s="79"/>
      <c r="U57" s="79"/>
      <c r="V57" s="148"/>
      <c r="W57" s="121"/>
      <c r="X57" s="148"/>
      <c r="Y57" s="121"/>
      <c r="Z57" s="148"/>
      <c r="AA57" s="121"/>
      <c r="AB57" s="150"/>
      <c r="AC57" s="121"/>
      <c r="AD57" s="121"/>
      <c r="AE57" s="121"/>
    </row>
    <row r="58" spans="1:31">
      <c r="A58" s="65" t="s">
        <v>209</v>
      </c>
      <c r="B58" s="65" t="s">
        <v>33</v>
      </c>
      <c r="C58" s="52">
        <v>0.69861111111111107</v>
      </c>
      <c r="D58" s="53">
        <v>104</v>
      </c>
      <c r="E58" s="53">
        <v>23</v>
      </c>
      <c r="F58" s="53">
        <v>25.6</v>
      </c>
      <c r="G58" s="27">
        <f t="shared" ref="G58:G59" si="18">DEGREES(ASIN(SIN(RADIANS($L$6))*COS(F58/637100008.8)+COS(RADIANS($L$6))*SIN(F58/637100008.8)*COS(RADIANS(MOD(D58+180, 360)))))</f>
        <v>24.891868007787505</v>
      </c>
      <c r="H58" s="27">
        <f t="shared" ref="H58:H59" si="19">DEGREES(
  RADIANS($M$6) + ATAN2(
    COS(F58/637100008.8) - SIN(RADIANS($L$6))*SIN(RADIANS(G58)), SIN(RADIANS(MOD(D58+180,360)))*SIN(F58/637100008.8)*COS(RADIANS($L$6))
  )
)</f>
        <v>121.56700131382965</v>
      </c>
      <c r="I58" s="78"/>
      <c r="J58" s="78"/>
      <c r="K58" s="78"/>
      <c r="L58" s="78"/>
      <c r="M58" s="78"/>
      <c r="N58" s="78"/>
      <c r="O58" s="11"/>
      <c r="P58" s="11"/>
      <c r="Q58" s="11"/>
      <c r="R58" s="11"/>
      <c r="S58" s="11"/>
      <c r="T58" s="11"/>
      <c r="U58" s="11"/>
      <c r="V58" s="146"/>
      <c r="W58" s="121"/>
      <c r="X58" s="148"/>
      <c r="Y58" s="121"/>
      <c r="Z58" s="148"/>
      <c r="AA58" s="121"/>
      <c r="AB58" s="149"/>
      <c r="AC58" s="121"/>
      <c r="AD58" s="121"/>
      <c r="AE58" s="121"/>
    </row>
    <row r="59" spans="1:31">
      <c r="A59" s="51"/>
      <c r="B59" s="65" t="s">
        <v>42</v>
      </c>
      <c r="C59" s="59">
        <v>0.70486111111111116</v>
      </c>
      <c r="D59" s="53">
        <v>207</v>
      </c>
      <c r="E59" s="53">
        <v>23</v>
      </c>
      <c r="F59" s="58">
        <v>112.5</v>
      </c>
      <c r="G59" s="27">
        <f t="shared" si="18"/>
        <v>24.891876465460371</v>
      </c>
      <c r="H59" s="27">
        <f t="shared" si="19"/>
        <v>121.56700884005294</v>
      </c>
      <c r="I59" s="78"/>
      <c r="J59" s="78"/>
      <c r="K59" s="78"/>
      <c r="L59" s="78"/>
      <c r="M59" s="78"/>
      <c r="N59" s="78"/>
      <c r="O59" s="79"/>
      <c r="P59" s="79"/>
      <c r="Q59" s="79"/>
      <c r="R59" s="79"/>
      <c r="S59" s="79"/>
      <c r="T59" s="79"/>
      <c r="U59" s="79"/>
      <c r="V59" s="148"/>
      <c r="W59" s="121"/>
      <c r="X59" s="148"/>
      <c r="Y59" s="121"/>
      <c r="Z59" s="148"/>
      <c r="AA59" s="121"/>
      <c r="AB59" s="149"/>
      <c r="AC59" s="121"/>
      <c r="AD59" s="121"/>
      <c r="AE59" s="121"/>
    </row>
    <row r="60" spans="1:31">
      <c r="A60" s="51"/>
      <c r="B60" s="65" t="s">
        <v>44</v>
      </c>
      <c r="C60" s="59">
        <v>0.70972222222222225</v>
      </c>
      <c r="D60" s="53">
        <v>42</v>
      </c>
      <c r="E60" s="53">
        <v>24</v>
      </c>
      <c r="F60" s="58">
        <v>158.69999999999999</v>
      </c>
      <c r="G60" s="27">
        <f>DEGREES(ASIN(SIN(RADIANS($L$7))*COS(F60/637100008.8)+COS(RADIANS($L$7))*SIN(F60/637100008.8)*COS(RADIANS(MOD(D60+180, 360)))))</f>
        <v>24.891896753612908</v>
      </c>
      <c r="H60" s="27">
        <f>DEGREES(
  RADIANS($M$7) + ATAN2(
    COS(F60/637100008.8) - SIN(RADIANS($L$7))*SIN(RADIANS(G60)), SIN(RADIANS(MOD(D60+180,360)))*SIN(F60/637100008.8)*COS(RADIANS($L$7))
  )
)</f>
        <v>121.56695500315455</v>
      </c>
      <c r="I60" s="78"/>
      <c r="J60" s="78"/>
      <c r="K60" s="78"/>
      <c r="L60" s="78"/>
      <c r="M60" s="78"/>
      <c r="N60" s="78"/>
    </row>
    <row r="61" spans="1:31">
      <c r="A61" s="51"/>
      <c r="B61" s="65" t="s">
        <v>39</v>
      </c>
      <c r="C61" s="59">
        <v>0.71458333333333335</v>
      </c>
      <c r="D61" s="53">
        <v>188</v>
      </c>
      <c r="E61" s="53">
        <v>25</v>
      </c>
      <c r="F61" s="58">
        <v>548.5</v>
      </c>
      <c r="G61" s="27">
        <f>DEGREES(ASIN(SIN(RADIANS($L$8))*COS(F61/637100008.8)+COS(RADIANS($L$8))*SIN(F61/637100008.8)*COS(RADIANS(MOD(D61+180, 360)))))</f>
        <v>24.892002806529234</v>
      </c>
      <c r="H61" s="27">
        <f>DEGREES(
  RADIANS($M$8) + ATAN2(
    COS(F61/637100008.8) - SIN(RADIANS($L$8))*SIN(RADIANS(G61)), SIN(RADIANS(MOD(D61+180,360)))*SIN(F61/637100008.8)*COS(RADIANS($L$8))
  )
)</f>
        <v>121.56685922471209</v>
      </c>
      <c r="I61" s="78"/>
      <c r="J61" s="78"/>
      <c r="K61" s="78"/>
      <c r="L61" s="78"/>
      <c r="M61" s="78"/>
      <c r="N61" s="78"/>
      <c r="O61" s="42"/>
    </row>
    <row r="62" spans="1:31">
      <c r="A62" s="51"/>
      <c r="B62" s="65" t="s">
        <v>46</v>
      </c>
      <c r="C62" s="59">
        <v>0.72083333333333333</v>
      </c>
      <c r="D62" s="53">
        <v>158</v>
      </c>
      <c r="E62" s="53">
        <v>21</v>
      </c>
      <c r="F62" s="58">
        <v>317.7</v>
      </c>
      <c r="G62" s="27">
        <f>DEGREES(ASIN(SIN(RADIANS($L$4))*COS(F62/637100008.8)+COS(RADIANS($L$4))*SIN(F62/637100008.8)*COS(RADIANS(MOD(D62+180, 360)))))</f>
        <v>24.891974431156299</v>
      </c>
      <c r="H62" s="27">
        <f>DEGREES(
  RADIANS($M$4) + ATAN2(
    COS(F62/637100008.8) - SIN(RADIANS($L$4))*SIN(RADIANS(G62)), SIN(RADIANS(MOD(D62+180,360)))*SIN(F62/637100008.8)*COS(RADIANS($L$4))
  )
)</f>
        <v>121.56693474267357</v>
      </c>
      <c r="I62" s="78"/>
      <c r="J62" s="78"/>
      <c r="K62" s="78"/>
      <c r="L62" s="78"/>
      <c r="M62" s="78"/>
      <c r="N62" s="78"/>
      <c r="O62" s="11"/>
      <c r="P62" s="11"/>
    </row>
    <row r="63" spans="1:31">
      <c r="A63" s="65" t="s">
        <v>212</v>
      </c>
      <c r="B63" s="65" t="s">
        <v>42</v>
      </c>
      <c r="C63" s="59">
        <v>0.5180555555555556</v>
      </c>
      <c r="D63" s="53">
        <v>219</v>
      </c>
      <c r="E63" s="53">
        <v>23</v>
      </c>
      <c r="F63" s="58">
        <v>128.5</v>
      </c>
      <c r="G63" s="27">
        <f t="shared" ref="G63:G64" si="20">DEGREES(ASIN(SIN(RADIANS($L$6))*COS(F63/637100008.8)+COS(RADIANS($L$6))*SIN(F63/637100008.8)*COS(RADIANS(MOD(D63+180, 360)))))</f>
        <v>24.891876431737671</v>
      </c>
      <c r="H63" s="27">
        <f t="shared" ref="H63:H64" si="21">DEGREES(
  RADIANS($M$6) + ATAN2(
    COS(F63/637100008.8) - SIN(RADIANS($L$6))*SIN(RADIANS(G63)), SIN(RADIANS(MOD(D63+180,360)))*SIN(F63/637100008.8)*COS(RADIANS($L$6))
  )
)</f>
        <v>121.56701179386658</v>
      </c>
      <c r="I63" s="78"/>
      <c r="J63" s="78"/>
      <c r="K63" s="78"/>
      <c r="L63" s="78"/>
      <c r="M63" s="78"/>
      <c r="N63" s="78"/>
      <c r="O63" s="11"/>
      <c r="P63" s="11"/>
    </row>
    <row r="64" spans="1:31">
      <c r="A64" s="51"/>
      <c r="B64" s="65" t="s">
        <v>33</v>
      </c>
      <c r="C64" s="59">
        <v>0.52638888888888891</v>
      </c>
      <c r="D64" s="53">
        <v>107</v>
      </c>
      <c r="E64" s="53">
        <v>23</v>
      </c>
      <c r="F64" s="58">
        <v>24.8</v>
      </c>
      <c r="G64" s="27">
        <f t="shared" si="20"/>
        <v>24.891868102901352</v>
      </c>
      <c r="H64" s="27">
        <f t="shared" si="21"/>
        <v>121.5670014251873</v>
      </c>
      <c r="I64" s="78"/>
      <c r="J64" s="78"/>
      <c r="K64" s="78"/>
      <c r="L64" s="78"/>
      <c r="M64" s="78"/>
      <c r="N64" s="78"/>
      <c r="O64" s="11"/>
      <c r="P64" s="11"/>
    </row>
    <row r="65" spans="1:26">
      <c r="A65" s="51" t="s">
        <v>165</v>
      </c>
      <c r="B65" s="65" t="s">
        <v>39</v>
      </c>
      <c r="C65" s="52">
        <v>0.53333333333333333</v>
      </c>
      <c r="D65" s="53">
        <v>188</v>
      </c>
      <c r="E65" s="53">
        <v>25</v>
      </c>
      <c r="F65" s="58">
        <v>548.5</v>
      </c>
      <c r="G65" s="27">
        <f>DEGREES(ASIN(SIN(RADIANS($L$8))*COS(F65/637100008.8)+COS(RADIANS($L$8))*SIN(F65/637100008.8)*COS(RADIANS(MOD(D65+180, 360)))))</f>
        <v>24.892002806529234</v>
      </c>
      <c r="H65" s="27">
        <f>DEGREES(
  RADIANS($M$8) + ATAN2(
    COS(F65/637100008.8) - SIN(RADIANS($L$8))*SIN(RADIANS(G65)), SIN(RADIANS(MOD(D65+180,360)))*SIN(F65/637100008.8)*COS(RADIANS($L$8))
  )
)</f>
        <v>121.56685922471209</v>
      </c>
      <c r="I65" s="78"/>
      <c r="J65" s="78"/>
      <c r="K65" s="78"/>
      <c r="L65" s="78"/>
      <c r="M65" s="78"/>
      <c r="N65" s="78"/>
      <c r="O65" s="11"/>
      <c r="P65" s="11"/>
      <c r="U65" s="148"/>
      <c r="V65" s="121"/>
      <c r="W65" s="150"/>
      <c r="X65" s="121"/>
      <c r="Y65" s="121"/>
      <c r="Z65" s="121"/>
    </row>
    <row r="66" spans="1:26">
      <c r="A66" s="51"/>
      <c r="B66" s="65" t="s">
        <v>46</v>
      </c>
      <c r="C66" s="52">
        <v>0.53402777777777777</v>
      </c>
      <c r="D66" s="53">
        <v>167</v>
      </c>
      <c r="E66" s="53">
        <v>21</v>
      </c>
      <c r="F66" s="53">
        <v>309.8</v>
      </c>
      <c r="G66" s="27">
        <f>DEGREES(ASIN(SIN(RADIANS($L$4))*COS(F66/637100008.8)+COS(RADIANS($L$4))*SIN(F66/637100008.8)*COS(RADIANS(MOD(D66+180, 360)))))</f>
        <v>24.891975087079999</v>
      </c>
      <c r="H66" s="27">
        <f>DEGREES(
  RADIANS($M$4) + ATAN2(
    COS(F66/637100008.8) - SIN(RADIANS($L$4))*SIN(RADIANS(G66)), SIN(RADIANS(MOD(D66+180,360)))*SIN(F66/637100008.8)*COS(RADIANS($L$4))
  )
)</f>
        <v>121.56693963263095</v>
      </c>
      <c r="I66" s="78"/>
      <c r="J66" s="78"/>
      <c r="K66" s="78"/>
      <c r="L66" s="78"/>
      <c r="M66" s="78"/>
      <c r="N66" s="78"/>
      <c r="O66" s="11"/>
      <c r="P66" s="11"/>
      <c r="S66" s="119"/>
      <c r="T66" s="121"/>
      <c r="U66" s="119"/>
      <c r="V66" s="121"/>
      <c r="W66" s="149"/>
      <c r="X66" s="121"/>
      <c r="Y66" s="121"/>
      <c r="Z66" s="121"/>
    </row>
    <row r="67" spans="1:26">
      <c r="A67" s="51"/>
      <c r="B67" s="65" t="s">
        <v>44</v>
      </c>
      <c r="C67" s="52">
        <v>4.791666666666667E-2</v>
      </c>
      <c r="D67" s="53">
        <v>93</v>
      </c>
      <c r="E67" s="53">
        <v>24</v>
      </c>
      <c r="F67" s="53">
        <v>350</v>
      </c>
      <c r="G67" s="27">
        <f>DEGREES(ASIN(SIN(RADIANS($L$7))*COS(F67/637100008.8)+COS(RADIANS($L$7))*SIN(F67/637100008.8)*COS(RADIANS(MOD(D67+180, 360)))))</f>
        <v>24.89190900728584</v>
      </c>
      <c r="H67" s="27">
        <f>DEGREES(
  RADIANS($M$7) + ATAN2(
    COS(F67/637100008.8) - SIN(RADIANS($L$7))*SIN(RADIANS(G67)), SIN(RADIANS(MOD(D67+180,360)))*SIN(F67/637100008.8)*COS(RADIANS($L$7))
  )
)</f>
        <v>121.5669308789701</v>
      </c>
      <c r="I67" s="78"/>
      <c r="J67" s="78"/>
      <c r="K67" s="78"/>
      <c r="L67" s="78"/>
      <c r="M67" s="78"/>
      <c r="N67" s="78"/>
      <c r="O67" s="11"/>
      <c r="P67" s="11"/>
      <c r="S67" s="119"/>
      <c r="T67" s="121"/>
      <c r="U67" s="119"/>
      <c r="V67" s="121"/>
      <c r="W67" s="149"/>
      <c r="X67" s="121"/>
      <c r="Y67" s="121"/>
      <c r="Z67" s="121"/>
    </row>
    <row r="68" spans="1:26">
      <c r="A68" s="65" t="s">
        <v>88</v>
      </c>
      <c r="B68" s="65" t="s">
        <v>42</v>
      </c>
      <c r="C68" s="52">
        <v>0.45416666666666666</v>
      </c>
      <c r="D68" s="53">
        <v>211</v>
      </c>
      <c r="E68" s="53">
        <v>22</v>
      </c>
      <c r="F68" s="58">
        <v>361.2</v>
      </c>
      <c r="G68" s="27">
        <f>DEGREES(ASIN(SIN(RADIANS($L$5))*COS(F68/637100008.8)+COS(RADIANS($L$5))*SIN(F68/637100008.8)*COS(RADIANS(MOD(D68+180, 360)))))</f>
        <v>24.891883215090612</v>
      </c>
      <c r="H68" s="27">
        <f>DEGREES(
  RADIANS($M$5) + ATAN2(
    COS(F68/637100008.8) - SIN(RADIANS($L$5))*SIN(RADIANS(G68)), SIN(RADIANS(MOD(D68+180,360)))*SIN(F68/637100008.8)*COS(RADIANS($L$5))
  )
)</f>
        <v>121.56703022146145</v>
      </c>
      <c r="I68" s="78"/>
      <c r="J68" s="78"/>
      <c r="K68" s="78"/>
      <c r="L68" s="78"/>
      <c r="M68" s="78"/>
      <c r="N68" s="78"/>
      <c r="O68" s="11"/>
      <c r="P68" s="11"/>
      <c r="S68" s="119"/>
      <c r="T68" s="121"/>
      <c r="U68" s="119"/>
      <c r="V68" s="121"/>
      <c r="W68" s="150"/>
      <c r="X68" s="121"/>
      <c r="Y68" s="121"/>
      <c r="Z68" s="121"/>
    </row>
    <row r="69" spans="1:26">
      <c r="A69" s="71"/>
      <c r="B69" s="72" t="s">
        <v>33</v>
      </c>
      <c r="C69" s="73">
        <v>0.46527777777777779</v>
      </c>
      <c r="D69" s="62">
        <v>256</v>
      </c>
      <c r="E69" s="62">
        <v>24</v>
      </c>
      <c r="F69" s="7">
        <v>209.5</v>
      </c>
      <c r="G69" s="27">
        <f>DEGREES(ASIN(SIN(RADIANS($L$7))*COS(F69/637100008.8)+COS(RADIANS($L$7))*SIN(F69/637100008.8)*COS(RADIANS(MOD(D69+180, 360)))))</f>
        <v>24.891911917947539</v>
      </c>
      <c r="H69" s="27">
        <f>DEGREES(
  RADIANS($M$7) + ATAN2(
    COS(F69/637100008.8) - SIN(RADIANS($L$7))*SIN(RADIANS(G69)), SIN(RADIANS(MOD(D69+180,360)))*SIN(F69/637100008.8)*COS(RADIANS($L$7))
  )
)</f>
        <v>121.56698568446548</v>
      </c>
      <c r="I69" s="78"/>
      <c r="J69" s="78"/>
      <c r="K69" s="78"/>
      <c r="L69" s="78"/>
      <c r="M69" s="78"/>
      <c r="N69" s="78"/>
      <c r="U69" s="119"/>
      <c r="V69" s="121"/>
      <c r="W69" s="149"/>
      <c r="X69" s="121"/>
      <c r="Y69" s="121"/>
      <c r="Z69" s="121"/>
    </row>
    <row r="70" spans="1:26">
      <c r="A70" s="71"/>
      <c r="B70" s="72" t="s">
        <v>39</v>
      </c>
      <c r="C70" s="73">
        <v>0.47152777777777777</v>
      </c>
      <c r="D70" s="62">
        <v>203</v>
      </c>
      <c r="E70" s="62">
        <v>25</v>
      </c>
      <c r="F70" s="62">
        <v>551.4</v>
      </c>
      <c r="G70" s="27">
        <f>DEGREES(ASIN(SIN(RADIANS($L$8))*COS(F70/637100008.8)+COS(RADIANS($L$8))*SIN(F70/637100008.8)*COS(RADIANS(MOD(D70+180, 360)))))</f>
        <v>24.891999605333385</v>
      </c>
      <c r="H70" s="27">
        <f>DEGREES(
  RADIANS($M$8) + ATAN2(
    COS(F70/637100008.8) - SIN(RADIANS($L$8))*SIN(RADIANS(G70)), SIN(RADIANS(MOD(D70+180,360)))*SIN(F70/637100008.8)*COS(RADIANS($L$8))
  )
)</f>
        <v>121.56687301664969</v>
      </c>
      <c r="I70" s="78"/>
      <c r="J70" s="78"/>
      <c r="K70" s="78"/>
      <c r="L70" s="78"/>
      <c r="M70" s="78"/>
      <c r="N70" s="78"/>
      <c r="U70" s="119"/>
      <c r="V70" s="121"/>
      <c r="W70" s="149"/>
      <c r="X70" s="121"/>
      <c r="Y70" s="121"/>
      <c r="Z70" s="121"/>
    </row>
    <row r="71" spans="1:26">
      <c r="A71" s="71"/>
      <c r="B71" s="72" t="s">
        <v>46</v>
      </c>
      <c r="C71" s="73">
        <v>0.48055555555555557</v>
      </c>
      <c r="D71" s="62">
        <v>168</v>
      </c>
      <c r="E71" s="62">
        <v>21</v>
      </c>
      <c r="F71" s="62">
        <v>332.7</v>
      </c>
      <c r="G71" s="27">
        <f>DEGREES(ASIN(SIN(RADIANS($L$4))*COS(F71/637100008.8)+COS(RADIANS($L$4))*SIN(F71/637100008.8)*COS(RADIANS(MOD(D71+180, 360)))))</f>
        <v>24.89197720676847</v>
      </c>
      <c r="H71" s="27">
        <f>DEGREES(
  RADIANS($M$4) + ATAN2(
    COS(F71/637100008.8) - SIN(RADIANS($L$4))*SIN(RADIANS(G71)), SIN(RADIANS(MOD(D71+180,360)))*SIN(F71/637100008.8)*COS(RADIANS($L$4))
  )
)</f>
        <v>121.56693968394852</v>
      </c>
      <c r="I71" s="78"/>
      <c r="J71" s="78"/>
      <c r="K71" s="78"/>
      <c r="L71" s="78"/>
      <c r="M71" s="78"/>
      <c r="N71" s="78"/>
      <c r="U71" s="119"/>
      <c r="V71" s="121"/>
      <c r="W71" s="149"/>
      <c r="X71" s="121"/>
      <c r="Y71" s="121"/>
      <c r="Z71" s="121"/>
    </row>
    <row r="72" spans="1:26">
      <c r="A72" s="65" t="s">
        <v>89</v>
      </c>
      <c r="B72" s="72" t="s">
        <v>42</v>
      </c>
      <c r="C72" s="73">
        <v>0.68263888888888891</v>
      </c>
      <c r="D72" s="62">
        <v>133</v>
      </c>
      <c r="E72" s="62">
        <v>22</v>
      </c>
      <c r="F72" s="62">
        <v>197</v>
      </c>
      <c r="G72" s="27">
        <f>DEGREES(ASIN(SIN(RADIANS($L$5))*COS(F72/637100008.8)+COS(RADIANS($L$5))*SIN(F72/637100008.8)*COS(RADIANS(MOD(D72+180, 360)))))</f>
        <v>24.891867454016801</v>
      </c>
      <c r="H72" s="27">
        <f>DEGREES(
  RADIANS($M$5) + ATAN2(
    COS(F72/637100008.8) - SIN(RADIANS($L$5))*SIN(RADIANS(G72)), SIN(RADIANS(MOD(D72+180,360)))*SIN(F72/637100008.8)*COS(RADIANS($L$5))
  )
)</f>
        <v>121.56699749382066</v>
      </c>
      <c r="I72" s="78"/>
      <c r="J72" s="78"/>
      <c r="K72" s="78"/>
      <c r="L72" s="78"/>
      <c r="M72" s="78"/>
      <c r="N72" s="78"/>
      <c r="U72" s="119"/>
      <c r="V72" s="121"/>
      <c r="W72" s="149"/>
      <c r="X72" s="121"/>
      <c r="Y72" s="121"/>
      <c r="Z72" s="121"/>
    </row>
    <row r="73" spans="1:26">
      <c r="A73" s="71"/>
      <c r="B73" s="72" t="s">
        <v>33</v>
      </c>
      <c r="C73" s="73">
        <v>0.68958333333333333</v>
      </c>
      <c r="D73" s="62">
        <v>61</v>
      </c>
      <c r="E73" s="62">
        <v>24</v>
      </c>
      <c r="F73" s="62">
        <v>216.7</v>
      </c>
      <c r="G73" s="27">
        <f>DEGREES(ASIN(SIN(RADIANS($L$7))*COS(F73/637100008.8)+COS(RADIANS($L$7))*SIN(F73/637100008.8)*COS(RADIANS(MOD(D73+180, 360)))))</f>
        <v>24.891897911833912</v>
      </c>
      <c r="H73" s="27">
        <f>DEGREES(
  RADIANS($M$7) + ATAN2(
    COS(F73/637100008.8) - SIN(RADIANS($L$7))*SIN(RADIANS(G73)), SIN(RADIANS(MOD(D73+180,360)))*SIN(F73/637100008.8)*COS(RADIANS($L$7))
  )
)</f>
        <v>121.56694674074386</v>
      </c>
      <c r="I73" s="78"/>
      <c r="J73" s="78"/>
      <c r="K73" s="78"/>
      <c r="L73" s="78"/>
      <c r="M73" s="78"/>
      <c r="N73" s="78"/>
      <c r="U73" s="119"/>
      <c r="V73" s="121"/>
      <c r="W73" s="149"/>
      <c r="X73" s="121"/>
      <c r="Y73" s="121"/>
      <c r="Z73" s="121"/>
    </row>
    <row r="74" spans="1:26">
      <c r="A74" s="71"/>
      <c r="B74" s="72" t="s">
        <v>39</v>
      </c>
      <c r="C74" s="73">
        <v>0.69861111111111107</v>
      </c>
      <c r="D74" s="62">
        <v>193</v>
      </c>
      <c r="E74" s="62">
        <v>25</v>
      </c>
      <c r="F74" s="62">
        <v>552.6</v>
      </c>
      <c r="G74" s="27">
        <f>DEGREES(ASIN(SIN(RADIANS($L$8))*COS(F74/637100008.8)+COS(RADIANS($L$8))*SIN(F74/637100008.8)*COS(RADIANS(MOD(D74+180, 360)))))</f>
        <v>24.892002381587066</v>
      </c>
      <c r="H74" s="27">
        <f>DEGREES(
  RADIANS($M$8) + ATAN2(
    COS(F74/637100008.8) - SIN(RADIANS($L$8))*SIN(RADIANS(G74)), SIN(RADIANS(MOD(D74+180,360)))*SIN(F74/637100008.8)*COS(RADIANS($L$8))
  )
)</f>
        <v>121.56686398071247</v>
      </c>
      <c r="I74" s="78"/>
      <c r="J74" s="78"/>
      <c r="K74" s="78"/>
      <c r="L74" s="78"/>
      <c r="M74" s="78"/>
      <c r="N74" s="78"/>
      <c r="U74" s="119"/>
      <c r="V74" s="121"/>
      <c r="W74" s="149"/>
      <c r="X74" s="121"/>
      <c r="Y74" s="121"/>
      <c r="Z74" s="121"/>
    </row>
    <row r="75" spans="1:26">
      <c r="A75" s="74"/>
      <c r="B75" s="72" t="s">
        <v>48</v>
      </c>
      <c r="C75" s="73">
        <v>0.70416666666666672</v>
      </c>
      <c r="D75" s="62">
        <v>63</v>
      </c>
      <c r="E75" s="62">
        <v>33</v>
      </c>
      <c r="F75" s="62">
        <v>332</v>
      </c>
      <c r="G75" s="27">
        <f>DEGREES(ASIN(SIN(RADIANS($L$15))*COS(F75/637100008.8)+COS(RADIANS($L$15))*SIN(F75/637100008.8)*COS(RADIANS(MOD(D75+180, 360)))))</f>
        <v>24.891937476698676</v>
      </c>
      <c r="H75" s="27">
        <f>DEGREES(
  RADIANS($M$15) + ATAN2(
    COS(F75/637100008.8) - SIN(RADIANS($L$15))*SIN(RADIANS(G75)), SIN(RADIANS(MOD(D75+180,360)))*SIN(F75/637100008.8)*COS(RADIANS($L$15))
  )
)</f>
        <v>121.56701480971194</v>
      </c>
      <c r="I75" s="78"/>
      <c r="J75" s="78"/>
      <c r="K75" s="78"/>
      <c r="L75" s="78"/>
      <c r="M75" s="78"/>
      <c r="N75" s="78"/>
      <c r="U75" s="119"/>
      <c r="V75" s="121"/>
      <c r="W75" s="149"/>
      <c r="X75" s="121"/>
      <c r="Y75" s="121"/>
      <c r="Z75" s="121"/>
    </row>
    <row r="76" spans="1:26">
      <c r="A76" s="65" t="s">
        <v>222</v>
      </c>
      <c r="B76" s="72" t="s">
        <v>42</v>
      </c>
      <c r="C76" s="73">
        <v>0.17222222222222222</v>
      </c>
      <c r="D76" s="62">
        <v>157</v>
      </c>
      <c r="E76" s="62">
        <v>22</v>
      </c>
      <c r="F76" s="62">
        <v>37.6</v>
      </c>
      <c r="G76" s="27">
        <f>DEGREES(ASIN(SIN(RADIANS($L$5))*COS(F76/637100008.8)+COS(RADIANS($L$5))*SIN(F76/637100008.8)*COS(RADIANS(MOD(D76+180, 360)))))</f>
        <v>24.89185848394159</v>
      </c>
      <c r="H76" s="27">
        <f>DEGREES(
  RADIANS($M$5) + ATAN2(
    COS(F76/637100008.8) - SIN(RADIANS($L$5))*SIN(RADIANS(G76)), SIN(RADIANS(MOD(D76+180,360)))*SIN(F76/637100008.8)*COS(RADIANS($L$5))
  )
)</f>
        <v>121.56701032133823</v>
      </c>
      <c r="I76" s="78"/>
      <c r="J76" s="78"/>
      <c r="K76" s="78"/>
      <c r="L76" s="78"/>
      <c r="M76" s="78"/>
      <c r="N76" s="78"/>
      <c r="U76" s="119"/>
      <c r="V76" s="121"/>
      <c r="W76" s="154"/>
      <c r="X76" s="121"/>
      <c r="Y76" s="121"/>
      <c r="Z76" s="121"/>
    </row>
    <row r="77" spans="1:26">
      <c r="A77" s="74"/>
      <c r="B77" s="72" t="s">
        <v>33</v>
      </c>
      <c r="C77" s="73">
        <v>0.17708333333333334</v>
      </c>
      <c r="D77" s="62">
        <v>79</v>
      </c>
      <c r="E77" s="62">
        <v>24</v>
      </c>
      <c r="F77" s="62">
        <v>187.4</v>
      </c>
      <c r="G77" s="27">
        <f>DEGREES(ASIN(SIN(RADIANS($L$7))*COS(F77/637100008.8)+COS(RADIANS($L$7))*SIN(F77/637100008.8)*COS(RADIANS(MOD(D77+180, 360)))))</f>
        <v>24.891904144190089</v>
      </c>
      <c r="H77" s="27">
        <f>DEGREES(
  RADIANS($M$7) + ATAN2(
    COS(F77/637100008.8) - SIN(RADIANS($L$7))*SIN(RADIANS(G77)), SIN(RADIANS(MOD(D77+180,360)))*SIN(F77/637100008.8)*COS(RADIANS($L$7))
  )
)</f>
        <v>121.56694729327744</v>
      </c>
      <c r="I77" s="78"/>
      <c r="J77" s="78"/>
      <c r="K77" s="78"/>
      <c r="L77" s="78"/>
      <c r="M77" s="78"/>
      <c r="N77" s="78"/>
      <c r="U77" s="119"/>
      <c r="V77" s="121"/>
      <c r="W77" s="154"/>
      <c r="X77" s="121"/>
      <c r="Y77" s="121"/>
      <c r="Z77" s="121"/>
    </row>
    <row r="78" spans="1:26">
      <c r="A78" s="74"/>
      <c r="B78" s="72" t="s">
        <v>39</v>
      </c>
      <c r="C78" s="73">
        <v>0.19027777777777777</v>
      </c>
      <c r="D78" s="62">
        <v>193</v>
      </c>
      <c r="E78" s="62">
        <v>25</v>
      </c>
      <c r="F78" s="62">
        <v>552.6</v>
      </c>
      <c r="G78" s="27">
        <f>DEGREES(ASIN(SIN(RADIANS($L$8))*COS(F78/637100008.8)+COS(RADIANS($L$8))*SIN(F78/637100008.8)*COS(RADIANS(MOD(D78+180, 360)))))</f>
        <v>24.892002381587066</v>
      </c>
      <c r="H78" s="27">
        <f>DEGREES(
  RADIANS($M$8) + ATAN2(
    COS(F78/637100008.8) - SIN(RADIANS($L$8))*SIN(RADIANS(G78)), SIN(RADIANS(MOD(D78+180,360)))*SIN(F78/637100008.8)*COS(RADIANS($L$8))
  )
)</f>
        <v>121.56686398071247</v>
      </c>
      <c r="I78" s="78"/>
      <c r="J78" s="78"/>
      <c r="K78" s="78"/>
      <c r="L78" s="78"/>
      <c r="M78" s="78"/>
      <c r="N78" s="78"/>
      <c r="U78" s="119"/>
      <c r="V78" s="121"/>
      <c r="W78" s="154"/>
      <c r="X78" s="121"/>
      <c r="Y78" s="121"/>
      <c r="Z78" s="121"/>
    </row>
    <row r="79" spans="1:26">
      <c r="I79" s="78"/>
      <c r="J79" s="78"/>
      <c r="K79" s="78"/>
      <c r="L79" s="78"/>
      <c r="M79" s="78"/>
      <c r="N79" s="78"/>
      <c r="U79" s="119"/>
      <c r="V79" s="121"/>
      <c r="W79" s="154"/>
      <c r="X79" s="121"/>
      <c r="Y79" s="121"/>
      <c r="Z79" s="121"/>
    </row>
    <row r="80" spans="1:26">
      <c r="I80" s="78"/>
      <c r="J80" s="78"/>
      <c r="K80" s="78"/>
      <c r="L80" s="78"/>
      <c r="M80" s="78"/>
      <c r="N80" s="78"/>
      <c r="U80" s="119"/>
      <c r="V80" s="121"/>
      <c r="W80" s="154"/>
      <c r="X80" s="121"/>
      <c r="Y80" s="121"/>
      <c r="Z80" s="121"/>
    </row>
    <row r="81" spans="9:26">
      <c r="I81" s="78"/>
      <c r="J81" s="78"/>
      <c r="K81" s="78"/>
      <c r="L81" s="78"/>
      <c r="M81" s="78"/>
      <c r="N81" s="78"/>
      <c r="U81" s="119"/>
      <c r="V81" s="121"/>
      <c r="W81" s="154"/>
      <c r="X81" s="121"/>
      <c r="Y81" s="121"/>
      <c r="Z81" s="121"/>
    </row>
    <row r="82" spans="9:26">
      <c r="I82" s="78"/>
      <c r="J82" s="78"/>
      <c r="K82" s="78"/>
      <c r="L82" s="78"/>
      <c r="M82" s="78"/>
      <c r="N82" s="78"/>
      <c r="U82" s="119"/>
      <c r="V82" s="121"/>
      <c r="W82" s="154"/>
      <c r="X82" s="121"/>
      <c r="Y82" s="121"/>
      <c r="Z82" s="121"/>
    </row>
    <row r="83" spans="9:26">
      <c r="I83" s="78"/>
      <c r="J83" s="78"/>
      <c r="K83" s="78"/>
      <c r="L83" s="78"/>
      <c r="M83" s="78"/>
      <c r="N83" s="78"/>
      <c r="U83" s="119"/>
      <c r="V83" s="121"/>
      <c r="W83" s="147"/>
      <c r="X83" s="121"/>
      <c r="Y83" s="121"/>
      <c r="Z83" s="121"/>
    </row>
    <row r="84" spans="9:26">
      <c r="I84" s="78"/>
      <c r="J84" s="78"/>
      <c r="K84" s="78"/>
      <c r="L84" s="78"/>
      <c r="M84" s="78"/>
      <c r="N84" s="78"/>
      <c r="U84" s="119"/>
      <c r="V84" s="121"/>
      <c r="W84" s="147"/>
      <c r="X84" s="121"/>
      <c r="Y84" s="121"/>
      <c r="Z84" s="121"/>
    </row>
    <row r="85" spans="9:26">
      <c r="I85" s="78"/>
      <c r="J85" s="78"/>
      <c r="K85" s="78"/>
      <c r="L85" s="78"/>
      <c r="M85" s="78"/>
      <c r="N85" s="78"/>
      <c r="U85" s="119"/>
      <c r="V85" s="121"/>
      <c r="W85" s="147"/>
      <c r="X85" s="121"/>
      <c r="Y85" s="121"/>
      <c r="Z85" s="121"/>
    </row>
    <row r="86" spans="9:26">
      <c r="I86" s="78"/>
      <c r="J86" s="78"/>
      <c r="K86" s="78"/>
      <c r="L86" s="78"/>
      <c r="M86" s="78"/>
      <c r="N86" s="78"/>
      <c r="U86" s="119"/>
      <c r="V86" s="121"/>
      <c r="W86" s="147"/>
      <c r="X86" s="121"/>
      <c r="Y86" s="121"/>
      <c r="Z86" s="121"/>
    </row>
    <row r="87" spans="9:26">
      <c r="I87" s="78"/>
      <c r="J87" s="78"/>
      <c r="K87" s="78"/>
      <c r="L87" s="78"/>
      <c r="M87" s="78"/>
      <c r="N87" s="78"/>
      <c r="U87" s="119"/>
      <c r="V87" s="121"/>
      <c r="W87" s="147"/>
      <c r="X87" s="121"/>
      <c r="Y87" s="121"/>
      <c r="Z87" s="121"/>
    </row>
    <row r="88" spans="9:26">
      <c r="I88" s="78"/>
      <c r="J88" s="78"/>
      <c r="K88" s="78"/>
      <c r="L88" s="78"/>
      <c r="M88" s="78"/>
      <c r="N88" s="78"/>
      <c r="U88" s="119"/>
      <c r="V88" s="121"/>
      <c r="W88" s="147"/>
      <c r="X88" s="121"/>
      <c r="Y88" s="121"/>
      <c r="Z88" s="121"/>
    </row>
    <row r="89" spans="9:26">
      <c r="I89" s="78"/>
      <c r="J89" s="78"/>
      <c r="K89" s="78"/>
      <c r="L89" s="78"/>
      <c r="M89" s="78"/>
      <c r="N89" s="78"/>
      <c r="U89" s="119"/>
      <c r="V89" s="121"/>
      <c r="W89" s="147"/>
      <c r="X89" s="121"/>
      <c r="Y89" s="121"/>
      <c r="Z89" s="121"/>
    </row>
    <row r="90" spans="9:26">
      <c r="I90" s="78"/>
      <c r="J90" s="78"/>
      <c r="K90" s="78"/>
      <c r="L90" s="78"/>
      <c r="M90" s="78"/>
      <c r="N90" s="78"/>
      <c r="U90" s="119"/>
      <c r="V90" s="121"/>
      <c r="W90" s="147"/>
      <c r="X90" s="121"/>
      <c r="Y90" s="121"/>
      <c r="Z90" s="121"/>
    </row>
    <row r="91" spans="9:26">
      <c r="I91" s="78"/>
      <c r="J91" s="78"/>
      <c r="K91" s="78"/>
      <c r="L91" s="78"/>
      <c r="M91" s="78"/>
      <c r="N91" s="78"/>
      <c r="U91" s="119"/>
      <c r="V91" s="121"/>
      <c r="W91" s="147"/>
      <c r="X91" s="121"/>
      <c r="Y91" s="121"/>
      <c r="Z91" s="121"/>
    </row>
    <row r="92" spans="9:26">
      <c r="I92" s="78"/>
      <c r="J92" s="78"/>
      <c r="K92" s="78"/>
      <c r="L92" s="78"/>
      <c r="M92" s="78"/>
      <c r="N92" s="78"/>
      <c r="U92" s="119"/>
      <c r="V92" s="121"/>
      <c r="W92" s="147"/>
      <c r="X92" s="121"/>
      <c r="Y92" s="121"/>
      <c r="Z92" s="121"/>
    </row>
    <row r="93" spans="9:26">
      <c r="I93" s="78"/>
      <c r="J93" s="78"/>
      <c r="K93" s="78"/>
      <c r="L93" s="78"/>
      <c r="M93" s="78"/>
      <c r="N93" s="78"/>
      <c r="U93" s="119"/>
      <c r="V93" s="121"/>
      <c r="W93" s="147"/>
      <c r="X93" s="121"/>
      <c r="Y93" s="121"/>
      <c r="Z93" s="121"/>
    </row>
    <row r="94" spans="9:26">
      <c r="I94" s="78"/>
      <c r="J94" s="78"/>
      <c r="K94" s="78"/>
      <c r="L94" s="78"/>
      <c r="M94" s="78"/>
      <c r="N94" s="78"/>
      <c r="U94" s="119"/>
      <c r="V94" s="121"/>
      <c r="W94" s="147"/>
      <c r="X94" s="121"/>
      <c r="Y94" s="121"/>
      <c r="Z94" s="121"/>
    </row>
    <row r="95" spans="9:26">
      <c r="I95" s="78"/>
      <c r="J95" s="78"/>
      <c r="K95" s="78"/>
      <c r="L95" s="78"/>
      <c r="M95" s="78"/>
      <c r="N95" s="78"/>
      <c r="U95" s="119"/>
      <c r="V95" s="121"/>
      <c r="W95" s="147"/>
      <c r="X95" s="121"/>
      <c r="Y95" s="121"/>
      <c r="Z95" s="121"/>
    </row>
    <row r="96" spans="9:26">
      <c r="I96" s="78"/>
      <c r="J96" s="78"/>
      <c r="K96" s="78"/>
      <c r="L96" s="78"/>
      <c r="M96" s="78"/>
      <c r="N96" s="78"/>
      <c r="U96" s="119"/>
      <c r="V96" s="121"/>
      <c r="W96" s="147"/>
      <c r="X96" s="121"/>
      <c r="Y96" s="121"/>
      <c r="Z96" s="121"/>
    </row>
    <row r="97" spans="9:26">
      <c r="I97" s="78"/>
      <c r="J97" s="78"/>
      <c r="K97" s="78"/>
      <c r="L97" s="78"/>
      <c r="M97" s="78"/>
      <c r="N97" s="78"/>
      <c r="U97" s="119"/>
      <c r="V97" s="121"/>
      <c r="W97" s="149"/>
      <c r="X97" s="121"/>
      <c r="Y97" s="121"/>
      <c r="Z97" s="121"/>
    </row>
    <row r="98" spans="9:26">
      <c r="I98" s="78"/>
      <c r="J98" s="78"/>
      <c r="K98" s="78"/>
      <c r="L98" s="78"/>
      <c r="M98" s="78"/>
      <c r="N98" s="78"/>
      <c r="U98" s="119"/>
      <c r="V98" s="121"/>
      <c r="W98" s="150"/>
      <c r="X98" s="121"/>
      <c r="Y98" s="121"/>
      <c r="Z98" s="121"/>
    </row>
    <row r="99" spans="9:26">
      <c r="I99" s="78"/>
      <c r="J99" s="78"/>
      <c r="K99" s="78"/>
      <c r="L99" s="78"/>
      <c r="M99" s="78"/>
      <c r="N99" s="78"/>
      <c r="U99" s="119"/>
      <c r="V99" s="121"/>
      <c r="W99" s="147"/>
      <c r="X99" s="121"/>
      <c r="Y99" s="121"/>
      <c r="Z99" s="121"/>
    </row>
    <row r="100" spans="9:26">
      <c r="I100" s="78"/>
      <c r="J100" s="78"/>
      <c r="K100" s="78"/>
      <c r="L100" s="78"/>
      <c r="M100" s="78"/>
      <c r="N100" s="78"/>
      <c r="U100" s="119"/>
      <c r="V100" s="121"/>
      <c r="W100" s="147"/>
      <c r="X100" s="121"/>
      <c r="Y100" s="121"/>
      <c r="Z100" s="121"/>
    </row>
    <row r="101" spans="9:26">
      <c r="I101" s="78"/>
      <c r="J101" s="78"/>
      <c r="K101" s="78"/>
      <c r="L101" s="78"/>
      <c r="M101" s="78"/>
      <c r="N101" s="78"/>
      <c r="U101" s="119"/>
      <c r="V101" s="121"/>
      <c r="W101" s="149"/>
      <c r="X101" s="121"/>
      <c r="Y101" s="121"/>
      <c r="Z101" s="121"/>
    </row>
    <row r="102" spans="9:26">
      <c r="I102" s="78"/>
      <c r="J102" s="78"/>
      <c r="K102" s="78"/>
      <c r="L102" s="78"/>
      <c r="M102" s="78"/>
      <c r="N102" s="78"/>
      <c r="U102" s="119"/>
      <c r="V102" s="121"/>
      <c r="W102" s="149"/>
      <c r="X102" s="121"/>
      <c r="Y102" s="121"/>
      <c r="Z102" s="121"/>
    </row>
    <row r="103" spans="9:26">
      <c r="I103" s="78"/>
      <c r="J103" s="78"/>
      <c r="K103" s="78"/>
      <c r="L103" s="78"/>
      <c r="M103" s="78"/>
      <c r="N103" s="78"/>
      <c r="U103" s="119"/>
      <c r="V103" s="121"/>
      <c r="W103" s="150"/>
      <c r="X103" s="121"/>
      <c r="Y103" s="121"/>
      <c r="Z103" s="121"/>
    </row>
    <row r="104" spans="9:26">
      <c r="I104" s="78"/>
      <c r="J104" s="78"/>
      <c r="K104" s="78"/>
      <c r="L104" s="78"/>
      <c r="M104" s="78"/>
      <c r="N104" s="78"/>
      <c r="U104" s="119"/>
      <c r="V104" s="121"/>
      <c r="W104" s="150"/>
      <c r="X104" s="121"/>
      <c r="Y104" s="121"/>
      <c r="Z104" s="121"/>
    </row>
    <row r="105" spans="9:26">
      <c r="I105" s="78"/>
      <c r="J105" s="78"/>
      <c r="K105" s="78"/>
      <c r="L105" s="78"/>
      <c r="M105" s="78"/>
      <c r="N105" s="78"/>
      <c r="U105" s="119"/>
      <c r="V105" s="121"/>
      <c r="W105" s="149"/>
      <c r="X105" s="121"/>
      <c r="Y105" s="121"/>
      <c r="Z105" s="121"/>
    </row>
    <row r="106" spans="9:26">
      <c r="I106" s="78"/>
      <c r="J106" s="78"/>
      <c r="K106" s="78"/>
      <c r="L106" s="78"/>
      <c r="M106" s="78"/>
      <c r="N106" s="78"/>
      <c r="U106" s="119"/>
      <c r="V106" s="121"/>
      <c r="W106" s="149"/>
      <c r="X106" s="121"/>
      <c r="Y106" s="121"/>
      <c r="Z106" s="121"/>
    </row>
    <row r="107" spans="9:26">
      <c r="I107" s="78"/>
      <c r="J107" s="78"/>
      <c r="K107" s="78"/>
      <c r="L107" s="78"/>
      <c r="M107" s="78"/>
      <c r="N107" s="78"/>
      <c r="U107" s="119"/>
      <c r="V107" s="121"/>
      <c r="W107" s="150"/>
      <c r="X107" s="121"/>
      <c r="Y107" s="121"/>
      <c r="Z107" s="121"/>
    </row>
    <row r="108" spans="9:26">
      <c r="I108" s="78"/>
      <c r="J108" s="78"/>
      <c r="K108" s="78"/>
      <c r="L108" s="78"/>
      <c r="M108" s="78"/>
      <c r="N108" s="78"/>
      <c r="U108" s="119"/>
      <c r="V108" s="121"/>
      <c r="W108" s="149"/>
      <c r="X108" s="121"/>
      <c r="Y108" s="121"/>
      <c r="Z108" s="121"/>
    </row>
    <row r="109" spans="9:26">
      <c r="I109" s="78"/>
      <c r="J109" s="78"/>
      <c r="K109" s="78"/>
      <c r="L109" s="78"/>
      <c r="M109" s="78"/>
      <c r="N109" s="78"/>
    </row>
    <row r="110" spans="9:26">
      <c r="I110" s="78"/>
      <c r="J110" s="78"/>
      <c r="K110" s="78"/>
      <c r="L110" s="78"/>
      <c r="M110" s="78"/>
      <c r="N110" s="78"/>
    </row>
    <row r="111" spans="9:26">
      <c r="I111" s="78"/>
      <c r="J111" s="78"/>
      <c r="K111" s="78"/>
      <c r="L111" s="78"/>
      <c r="M111" s="78"/>
      <c r="N111" s="78"/>
    </row>
    <row r="112" spans="9:26">
      <c r="I112" s="78"/>
      <c r="J112" s="78"/>
      <c r="K112" s="78"/>
      <c r="L112" s="78"/>
      <c r="M112" s="78"/>
      <c r="N112" s="78"/>
    </row>
    <row r="113" spans="9:14">
      <c r="I113" s="78"/>
      <c r="J113" s="78"/>
      <c r="K113" s="78"/>
      <c r="L113" s="78"/>
      <c r="M113" s="78"/>
      <c r="N113" s="78"/>
    </row>
    <row r="114" spans="9:14">
      <c r="I114" s="78"/>
      <c r="J114" s="78"/>
      <c r="K114" s="78"/>
      <c r="L114" s="78"/>
      <c r="M114" s="78"/>
      <c r="N114" s="78"/>
    </row>
    <row r="115" spans="9:14">
      <c r="I115" s="78"/>
      <c r="J115" s="78"/>
      <c r="K115" s="78"/>
      <c r="L115" s="78"/>
      <c r="M115" s="78"/>
      <c r="N115" s="78"/>
    </row>
    <row r="116" spans="9:14">
      <c r="I116" s="78"/>
      <c r="J116" s="78"/>
      <c r="K116" s="78"/>
      <c r="L116" s="78"/>
      <c r="M116" s="78"/>
      <c r="N116" s="78"/>
    </row>
    <row r="117" spans="9:14">
      <c r="K117" s="78"/>
      <c r="L117" s="78"/>
      <c r="M117" s="78"/>
      <c r="N117" s="78"/>
    </row>
    <row r="118" spans="9:14">
      <c r="K118" s="78"/>
      <c r="L118" s="78"/>
      <c r="M118" s="78"/>
      <c r="N118" s="78"/>
    </row>
    <row r="119" spans="9:14">
      <c r="K119" s="78"/>
      <c r="L119" s="78"/>
      <c r="M119" s="78"/>
      <c r="N119" s="78"/>
    </row>
    <row r="120" spans="9:14">
      <c r="K120" s="78"/>
      <c r="L120" s="78"/>
      <c r="M120" s="78"/>
      <c r="N120" s="78"/>
    </row>
    <row r="121" spans="9:14">
      <c r="K121" s="78"/>
      <c r="L121" s="78"/>
      <c r="M121" s="78"/>
      <c r="N121" s="78"/>
    </row>
    <row r="122" spans="9:14">
      <c r="K122" s="78"/>
      <c r="L122" s="78"/>
      <c r="M122" s="78"/>
      <c r="N122" s="78"/>
    </row>
  </sheetData>
  <mergeCells count="327">
    <mergeCell ref="V33:W33"/>
    <mergeCell ref="X33:Y33"/>
    <mergeCell ref="Z33:AA33"/>
    <mergeCell ref="AB33:AE33"/>
    <mergeCell ref="V34:W34"/>
    <mergeCell ref="AB34:AE34"/>
    <mergeCell ref="X34:Y34"/>
    <mergeCell ref="Z34:AA34"/>
    <mergeCell ref="V35:W35"/>
    <mergeCell ref="X35:Y35"/>
    <mergeCell ref="Z35:AA35"/>
    <mergeCell ref="AB35:AE35"/>
    <mergeCell ref="V30:W30"/>
    <mergeCell ref="AB30:AE30"/>
    <mergeCell ref="X30:Y30"/>
    <mergeCell ref="Z30:AA30"/>
    <mergeCell ref="V31:W31"/>
    <mergeCell ref="X31:Y31"/>
    <mergeCell ref="Z31:AA31"/>
    <mergeCell ref="AB31:AE31"/>
    <mergeCell ref="V32:W32"/>
    <mergeCell ref="AB32:AE32"/>
    <mergeCell ref="X32:Y32"/>
    <mergeCell ref="Z32:AA32"/>
    <mergeCell ref="AB27:AE27"/>
    <mergeCell ref="V28:W28"/>
    <mergeCell ref="AB28:AE28"/>
    <mergeCell ref="X28:Y28"/>
    <mergeCell ref="Z28:AA28"/>
    <mergeCell ref="V29:W29"/>
    <mergeCell ref="X29:Y29"/>
    <mergeCell ref="Z29:AA29"/>
    <mergeCell ref="AB29:AE29"/>
    <mergeCell ref="AB24:AE24"/>
    <mergeCell ref="X24:Y24"/>
    <mergeCell ref="Z24:AA24"/>
    <mergeCell ref="V25:W25"/>
    <mergeCell ref="X25:Y25"/>
    <mergeCell ref="Z25:AA25"/>
    <mergeCell ref="AB25:AE25"/>
    <mergeCell ref="V26:W26"/>
    <mergeCell ref="AB26:AE26"/>
    <mergeCell ref="X26:Y26"/>
    <mergeCell ref="Z26:AA26"/>
    <mergeCell ref="AB21:AE21"/>
    <mergeCell ref="V22:W22"/>
    <mergeCell ref="AB22:AE22"/>
    <mergeCell ref="X22:Y22"/>
    <mergeCell ref="Z22:AA22"/>
    <mergeCell ref="V23:W23"/>
    <mergeCell ref="X23:Y23"/>
    <mergeCell ref="Z23:AA23"/>
    <mergeCell ref="AB23:AE23"/>
    <mergeCell ref="AB18:AE18"/>
    <mergeCell ref="X18:Y18"/>
    <mergeCell ref="Z18:AA18"/>
    <mergeCell ref="V19:W19"/>
    <mergeCell ref="X19:Y19"/>
    <mergeCell ref="Z19:AA19"/>
    <mergeCell ref="AB19:AE19"/>
    <mergeCell ref="V20:W20"/>
    <mergeCell ref="AB20:AE20"/>
    <mergeCell ref="X20:Y20"/>
    <mergeCell ref="Z20:AA20"/>
    <mergeCell ref="AB15:AE15"/>
    <mergeCell ref="V16:W16"/>
    <mergeCell ref="AB16:AE16"/>
    <mergeCell ref="X16:Y16"/>
    <mergeCell ref="Z16:AA16"/>
    <mergeCell ref="V17:W17"/>
    <mergeCell ref="X17:Y17"/>
    <mergeCell ref="Z17:AA17"/>
    <mergeCell ref="AB17:AE17"/>
    <mergeCell ref="AB12:AE12"/>
    <mergeCell ref="V13:W13"/>
    <mergeCell ref="X13:Y13"/>
    <mergeCell ref="Z13:AA13"/>
    <mergeCell ref="AB13:AE13"/>
    <mergeCell ref="V14:W14"/>
    <mergeCell ref="AB14:AE14"/>
    <mergeCell ref="X14:Y14"/>
    <mergeCell ref="Z14:AA14"/>
    <mergeCell ref="AB9:AE9"/>
    <mergeCell ref="X10:Y10"/>
    <mergeCell ref="Z10:AA10"/>
    <mergeCell ref="AB10:AE10"/>
    <mergeCell ref="V10:W10"/>
    <mergeCell ref="V11:W11"/>
    <mergeCell ref="X11:Y11"/>
    <mergeCell ref="Z11:AA11"/>
    <mergeCell ref="AB11:AE11"/>
    <mergeCell ref="W75:Z75"/>
    <mergeCell ref="W76:Z76"/>
    <mergeCell ref="W77:Z77"/>
    <mergeCell ref="W78:Z78"/>
    <mergeCell ref="W79:Z79"/>
    <mergeCell ref="W80:Z80"/>
    <mergeCell ref="W81:Z81"/>
    <mergeCell ref="V9:W9"/>
    <mergeCell ref="X9:Y9"/>
    <mergeCell ref="Z9:AA9"/>
    <mergeCell ref="V12:W12"/>
    <mergeCell ref="X12:Y12"/>
    <mergeCell ref="Z12:AA12"/>
    <mergeCell ref="V15:W15"/>
    <mergeCell ref="X15:Y15"/>
    <mergeCell ref="Z15:AA15"/>
    <mergeCell ref="V18:W18"/>
    <mergeCell ref="V21:W21"/>
    <mergeCell ref="X21:Y21"/>
    <mergeCell ref="Z21:AA21"/>
    <mergeCell ref="V24:W24"/>
    <mergeCell ref="V27:W27"/>
    <mergeCell ref="X27:Y27"/>
    <mergeCell ref="Z27:AA27"/>
    <mergeCell ref="U70:V70"/>
    <mergeCell ref="W70:Z70"/>
    <mergeCell ref="U71:V71"/>
    <mergeCell ref="W71:Z71"/>
    <mergeCell ref="U72:V72"/>
    <mergeCell ref="W72:Z72"/>
    <mergeCell ref="U73:V73"/>
    <mergeCell ref="W73:Z73"/>
    <mergeCell ref="W74:Z74"/>
    <mergeCell ref="S66:T66"/>
    <mergeCell ref="U66:V66"/>
    <mergeCell ref="W66:Z66"/>
    <mergeCell ref="S67:T67"/>
    <mergeCell ref="S68:T68"/>
    <mergeCell ref="U68:V68"/>
    <mergeCell ref="W68:Z68"/>
    <mergeCell ref="U69:V69"/>
    <mergeCell ref="W69:Z69"/>
    <mergeCell ref="V55:W55"/>
    <mergeCell ref="X55:Y55"/>
    <mergeCell ref="Z55:AA55"/>
    <mergeCell ref="AB55:AE55"/>
    <mergeCell ref="AB56:AE56"/>
    <mergeCell ref="U67:V67"/>
    <mergeCell ref="W67:Z67"/>
    <mergeCell ref="V56:W56"/>
    <mergeCell ref="U65:V65"/>
    <mergeCell ref="W65:Z65"/>
    <mergeCell ref="X52:Y52"/>
    <mergeCell ref="Z52:AA52"/>
    <mergeCell ref="V53:W53"/>
    <mergeCell ref="X53:Y53"/>
    <mergeCell ref="Z53:AA53"/>
    <mergeCell ref="AB53:AE53"/>
    <mergeCell ref="V54:W54"/>
    <mergeCell ref="AB54:AE54"/>
    <mergeCell ref="X54:Y54"/>
    <mergeCell ref="Z54:AA54"/>
    <mergeCell ref="W105:Z105"/>
    <mergeCell ref="W106:Z106"/>
    <mergeCell ref="W107:Z107"/>
    <mergeCell ref="W108:Z108"/>
    <mergeCell ref="W96:Z96"/>
    <mergeCell ref="W97:Z97"/>
    <mergeCell ref="W98:Z98"/>
    <mergeCell ref="W99:Z99"/>
    <mergeCell ref="W100:Z100"/>
    <mergeCell ref="W101:Z101"/>
    <mergeCell ref="W102:Z102"/>
    <mergeCell ref="U108:V108"/>
    <mergeCell ref="U95:V95"/>
    <mergeCell ref="U96:V96"/>
    <mergeCell ref="U97:V97"/>
    <mergeCell ref="U98:V98"/>
    <mergeCell ref="U99:V99"/>
    <mergeCell ref="U100:V100"/>
    <mergeCell ref="U101:V101"/>
    <mergeCell ref="W82:Z82"/>
    <mergeCell ref="W83:Z83"/>
    <mergeCell ref="W84:Z84"/>
    <mergeCell ref="W85:Z85"/>
    <mergeCell ref="W86:Z86"/>
    <mergeCell ref="W87:Z87"/>
    <mergeCell ref="W88:Z88"/>
    <mergeCell ref="W89:Z89"/>
    <mergeCell ref="W90:Z90"/>
    <mergeCell ref="W91:Z91"/>
    <mergeCell ref="W92:Z92"/>
    <mergeCell ref="W93:Z93"/>
    <mergeCell ref="W94:Z94"/>
    <mergeCell ref="W95:Z95"/>
    <mergeCell ref="W103:Z103"/>
    <mergeCell ref="W104:Z104"/>
    <mergeCell ref="U92:V92"/>
    <mergeCell ref="U93:V93"/>
    <mergeCell ref="U94:V94"/>
    <mergeCell ref="U102:V102"/>
    <mergeCell ref="U103:V103"/>
    <mergeCell ref="U104:V104"/>
    <mergeCell ref="U105:V105"/>
    <mergeCell ref="U106:V106"/>
    <mergeCell ref="U107:V107"/>
    <mergeCell ref="U83:V83"/>
    <mergeCell ref="U84:V84"/>
    <mergeCell ref="U85:V85"/>
    <mergeCell ref="U86:V86"/>
    <mergeCell ref="U87:V87"/>
    <mergeCell ref="U88:V88"/>
    <mergeCell ref="U89:V89"/>
    <mergeCell ref="U90:V90"/>
    <mergeCell ref="U91:V91"/>
    <mergeCell ref="U74:V74"/>
    <mergeCell ref="U75:V75"/>
    <mergeCell ref="U76:V76"/>
    <mergeCell ref="U77:V77"/>
    <mergeCell ref="U78:V78"/>
    <mergeCell ref="U79:V79"/>
    <mergeCell ref="U80:V80"/>
    <mergeCell ref="U81:V81"/>
    <mergeCell ref="U82:V82"/>
    <mergeCell ref="X58:Y58"/>
    <mergeCell ref="Z58:AA58"/>
    <mergeCell ref="V59:W59"/>
    <mergeCell ref="X59:Y59"/>
    <mergeCell ref="Z59:AA59"/>
    <mergeCell ref="AB59:AE59"/>
    <mergeCell ref="X56:Y56"/>
    <mergeCell ref="Z56:AA56"/>
    <mergeCell ref="V57:W57"/>
    <mergeCell ref="X57:Y57"/>
    <mergeCell ref="Z57:AA57"/>
    <mergeCell ref="AB57:AE57"/>
    <mergeCell ref="V58:W58"/>
    <mergeCell ref="AB58:AE58"/>
    <mergeCell ref="Z5:AA5"/>
    <mergeCell ref="AB5:AE5"/>
    <mergeCell ref="X6:Y6"/>
    <mergeCell ref="Z6:AA6"/>
    <mergeCell ref="AB6:AE6"/>
    <mergeCell ref="Z8:AA8"/>
    <mergeCell ref="AB8:AE8"/>
    <mergeCell ref="V6:W6"/>
    <mergeCell ref="V7:W7"/>
    <mergeCell ref="X7:Y7"/>
    <mergeCell ref="Z7:AA7"/>
    <mergeCell ref="AB7:AE7"/>
    <mergeCell ref="V8:W8"/>
    <mergeCell ref="X8:Y8"/>
    <mergeCell ref="V51:W51"/>
    <mergeCell ref="X51:Y51"/>
    <mergeCell ref="Z51:AA51"/>
    <mergeCell ref="AB51:AE51"/>
    <mergeCell ref="V52:W52"/>
    <mergeCell ref="AB52:AE52"/>
    <mergeCell ref="V1:W1"/>
    <mergeCell ref="X1:Y1"/>
    <mergeCell ref="Z1:AA1"/>
    <mergeCell ref="AB1:AE1"/>
    <mergeCell ref="X2:Y2"/>
    <mergeCell ref="Z2:AA2"/>
    <mergeCell ref="AB2:AE2"/>
    <mergeCell ref="Z4:AA4"/>
    <mergeCell ref="AB4:AE4"/>
    <mergeCell ref="V2:W2"/>
    <mergeCell ref="V3:W3"/>
    <mergeCell ref="X3:Y3"/>
    <mergeCell ref="Z3:AA3"/>
    <mergeCell ref="AB3:AE3"/>
    <mergeCell ref="V4:W4"/>
    <mergeCell ref="X4:Y4"/>
    <mergeCell ref="V5:W5"/>
    <mergeCell ref="X5:Y5"/>
    <mergeCell ref="V48:W48"/>
    <mergeCell ref="AB48:AE48"/>
    <mergeCell ref="X48:Y48"/>
    <mergeCell ref="Z48:AA48"/>
    <mergeCell ref="V49:W49"/>
    <mergeCell ref="X49:Y49"/>
    <mergeCell ref="Z49:AA49"/>
    <mergeCell ref="AB49:AE49"/>
    <mergeCell ref="V50:W50"/>
    <mergeCell ref="AB50:AE50"/>
    <mergeCell ref="X50:Y50"/>
    <mergeCell ref="Z50:AA50"/>
    <mergeCell ref="V45:W45"/>
    <mergeCell ref="X45:Y45"/>
    <mergeCell ref="Z45:AA45"/>
    <mergeCell ref="AB45:AE45"/>
    <mergeCell ref="V46:W46"/>
    <mergeCell ref="AB46:AE46"/>
    <mergeCell ref="X46:Y46"/>
    <mergeCell ref="Z46:AA46"/>
    <mergeCell ref="V47:W47"/>
    <mergeCell ref="X47:Y47"/>
    <mergeCell ref="Z47:AA47"/>
    <mergeCell ref="AB47:AE47"/>
    <mergeCell ref="V42:W42"/>
    <mergeCell ref="AB42:AE42"/>
    <mergeCell ref="X42:Y42"/>
    <mergeCell ref="Z42:AA42"/>
    <mergeCell ref="V43:W43"/>
    <mergeCell ref="X43:Y43"/>
    <mergeCell ref="Z43:AA43"/>
    <mergeCell ref="AB43:AE43"/>
    <mergeCell ref="V44:W44"/>
    <mergeCell ref="AB44:AE44"/>
    <mergeCell ref="X44:Y44"/>
    <mergeCell ref="Z44:AA44"/>
    <mergeCell ref="V39:W39"/>
    <mergeCell ref="X39:Y39"/>
    <mergeCell ref="Z39:AA39"/>
    <mergeCell ref="AB39:AE39"/>
    <mergeCell ref="V40:W40"/>
    <mergeCell ref="AB40:AE40"/>
    <mergeCell ref="X40:Y40"/>
    <mergeCell ref="Z40:AA40"/>
    <mergeCell ref="V41:W41"/>
    <mergeCell ref="X41:Y41"/>
    <mergeCell ref="Z41:AA41"/>
    <mergeCell ref="AB41:AE41"/>
    <mergeCell ref="X36:Y36"/>
    <mergeCell ref="Z36:AA36"/>
    <mergeCell ref="V37:W37"/>
    <mergeCell ref="X37:Y37"/>
    <mergeCell ref="Z37:AA37"/>
    <mergeCell ref="AB37:AE37"/>
    <mergeCell ref="V38:W38"/>
    <mergeCell ref="AB38:AE38"/>
    <mergeCell ref="X38:Y38"/>
    <mergeCell ref="Z38:AA38"/>
    <mergeCell ref="V36:W36"/>
    <mergeCell ref="AB36:AE36"/>
  </mergeCells>
  <phoneticPr fontId="23" type="noConversion"/>
  <conditionalFormatting sqref="B6">
    <cfRule type="notContainsBlanks" dxfId="3" priority="1">
      <formula>LEN(TRIM(B6))&gt;0</formula>
    </cfRule>
  </conditionalFormatting>
  <dataValidations count="1">
    <dataValidation type="list" allowBlank="1" showErrorMessage="1" sqref="B2:B78" xr:uid="{00000000-0002-0000-0500-000000000000}">
      <formula1>"TR#13,TR#14,TR#15,TR#16,TR#17,TR#18,TR#19,TR#20,TR#21,TR#22,TR#23,TR#24,TR#25"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E126"/>
  <sheetViews>
    <sheetView tabSelected="1" workbookViewId="0">
      <selection activeCell="C7" sqref="C7"/>
    </sheetView>
  </sheetViews>
  <sheetFormatPr defaultColWidth="12.6328125" defaultRowHeight="15.75" customHeight="1"/>
  <sheetData>
    <row r="1" spans="1:31">
      <c r="A1" s="162" t="s">
        <v>109</v>
      </c>
      <c r="B1" s="162" t="s">
        <v>110</v>
      </c>
      <c r="C1" s="162" t="s">
        <v>111</v>
      </c>
      <c r="D1" s="162" t="s">
        <v>112</v>
      </c>
      <c r="E1" s="162" t="s">
        <v>113</v>
      </c>
      <c r="F1" s="162" t="s">
        <v>114</v>
      </c>
      <c r="G1" s="163" t="s">
        <v>118</v>
      </c>
      <c r="H1" s="164"/>
      <c r="I1" s="164"/>
      <c r="J1" s="164"/>
      <c r="K1" s="162" t="s">
        <v>119</v>
      </c>
      <c r="L1" s="162" t="s">
        <v>120</v>
      </c>
      <c r="M1" s="162" t="s">
        <v>121</v>
      </c>
      <c r="N1" s="162" t="s">
        <v>122</v>
      </c>
      <c r="O1" s="162" t="s">
        <v>123</v>
      </c>
      <c r="P1" s="162" t="s">
        <v>124</v>
      </c>
      <c r="Q1" s="163" t="s">
        <v>127</v>
      </c>
      <c r="R1" s="164"/>
      <c r="S1" s="164"/>
      <c r="T1" s="164"/>
      <c r="U1" s="69"/>
      <c r="V1" s="151"/>
      <c r="W1" s="121"/>
      <c r="X1" s="151"/>
      <c r="Y1" s="121"/>
      <c r="Z1" s="151"/>
      <c r="AA1" s="121"/>
      <c r="AB1" s="151"/>
      <c r="AC1" s="121"/>
      <c r="AD1" s="121"/>
      <c r="AE1" s="121"/>
    </row>
    <row r="2" spans="1:31" ht="15.75" customHeight="1">
      <c r="A2" s="165" t="s">
        <v>128</v>
      </c>
      <c r="B2" s="165" t="s">
        <v>26</v>
      </c>
      <c r="C2" s="166">
        <v>0.34444444444444444</v>
      </c>
      <c r="D2" s="167">
        <v>29.4</v>
      </c>
      <c r="E2" s="167">
        <v>69</v>
      </c>
      <c r="F2" s="167">
        <v>4700</v>
      </c>
      <c r="G2" s="168" t="s">
        <v>129</v>
      </c>
      <c r="H2" s="169"/>
      <c r="I2" s="169"/>
      <c r="J2" s="169"/>
      <c r="K2" s="167">
        <v>37.6</v>
      </c>
      <c r="L2" s="167">
        <v>28.89</v>
      </c>
      <c r="M2" s="167">
        <v>40.19</v>
      </c>
      <c r="N2" s="167">
        <v>42.26</v>
      </c>
      <c r="O2" s="167">
        <v>10.77</v>
      </c>
      <c r="P2" s="167">
        <v>97.57</v>
      </c>
      <c r="Q2" s="168"/>
      <c r="R2" s="169"/>
      <c r="S2" s="169"/>
      <c r="T2" s="164"/>
      <c r="U2" s="80"/>
      <c r="V2" s="152"/>
      <c r="W2" s="121"/>
      <c r="X2" s="152"/>
      <c r="Y2" s="121"/>
      <c r="Z2" s="152"/>
      <c r="AA2" s="121"/>
      <c r="AB2" s="153"/>
      <c r="AC2" s="121"/>
      <c r="AD2" s="121"/>
      <c r="AE2" s="121"/>
    </row>
    <row r="3" spans="1:31" ht="15.75" customHeight="1">
      <c r="A3" s="165"/>
      <c r="B3" s="165" t="s">
        <v>30</v>
      </c>
      <c r="C3" s="166">
        <v>0.3611111111111111</v>
      </c>
      <c r="D3" s="167">
        <v>32.4</v>
      </c>
      <c r="E3" s="167">
        <v>75.5</v>
      </c>
      <c r="F3" s="167">
        <v>18100</v>
      </c>
      <c r="G3" s="168" t="s">
        <v>130</v>
      </c>
      <c r="H3" s="169"/>
      <c r="I3" s="169"/>
      <c r="J3" s="169"/>
      <c r="K3" s="167">
        <v>14.5</v>
      </c>
      <c r="L3" s="167">
        <v>26.67</v>
      </c>
      <c r="M3" s="167">
        <v>16.399999999999999</v>
      </c>
      <c r="N3" s="167">
        <v>44.45</v>
      </c>
      <c r="O3" s="167">
        <v>16.11</v>
      </c>
      <c r="P3" s="167">
        <v>61.57</v>
      </c>
      <c r="Q3" s="168" t="s">
        <v>131</v>
      </c>
      <c r="R3" s="169"/>
      <c r="S3" s="169"/>
      <c r="T3" s="164"/>
      <c r="U3" s="80"/>
      <c r="V3" s="152"/>
      <c r="W3" s="121"/>
      <c r="X3" s="152"/>
      <c r="Y3" s="121"/>
      <c r="Z3" s="152"/>
      <c r="AA3" s="121"/>
      <c r="AB3" s="153"/>
      <c r="AC3" s="121"/>
      <c r="AD3" s="121"/>
      <c r="AE3" s="121"/>
    </row>
    <row r="4" spans="1:31" ht="15.75" customHeight="1">
      <c r="A4" s="165"/>
      <c r="B4" s="165" t="s">
        <v>28</v>
      </c>
      <c r="C4" s="166">
        <v>0.3840277777777778</v>
      </c>
      <c r="D4" s="167" t="s">
        <v>132</v>
      </c>
      <c r="E4" s="170" t="s">
        <v>132</v>
      </c>
      <c r="F4" s="170" t="s">
        <v>132</v>
      </c>
      <c r="G4" s="168" t="s">
        <v>132</v>
      </c>
      <c r="H4" s="169"/>
      <c r="I4" s="169"/>
      <c r="J4" s="169"/>
      <c r="K4" s="167" t="s">
        <v>132</v>
      </c>
      <c r="L4" s="167" t="s">
        <v>132</v>
      </c>
      <c r="M4" s="167" t="s">
        <v>132</v>
      </c>
      <c r="N4" s="167" t="s">
        <v>132</v>
      </c>
      <c r="O4" s="167" t="s">
        <v>132</v>
      </c>
      <c r="P4" s="167" t="s">
        <v>132</v>
      </c>
      <c r="Q4" s="171" t="s">
        <v>133</v>
      </c>
      <c r="R4" s="169"/>
      <c r="S4" s="169"/>
      <c r="T4" s="164"/>
      <c r="U4" s="80"/>
      <c r="V4" s="152"/>
      <c r="W4" s="121"/>
      <c r="X4" s="152"/>
      <c r="Y4" s="121"/>
      <c r="Z4" s="152"/>
      <c r="AA4" s="121"/>
      <c r="AB4" s="153"/>
      <c r="AC4" s="121"/>
      <c r="AD4" s="121"/>
      <c r="AE4" s="121"/>
    </row>
    <row r="5" spans="1:31" ht="15.75" customHeight="1">
      <c r="A5" s="165"/>
      <c r="B5" s="165" t="s">
        <v>26</v>
      </c>
      <c r="C5" s="166">
        <v>0.40625</v>
      </c>
      <c r="D5" s="170" t="s">
        <v>132</v>
      </c>
      <c r="E5" s="170" t="s">
        <v>132</v>
      </c>
      <c r="F5" s="170" t="s">
        <v>132</v>
      </c>
      <c r="G5" s="168" t="s">
        <v>132</v>
      </c>
      <c r="H5" s="169"/>
      <c r="I5" s="169"/>
      <c r="J5" s="169"/>
      <c r="K5" s="167" t="s">
        <v>132</v>
      </c>
      <c r="L5" s="167" t="s">
        <v>132</v>
      </c>
      <c r="M5" s="167" t="s">
        <v>132</v>
      </c>
      <c r="N5" s="167" t="s">
        <v>132</v>
      </c>
      <c r="O5" s="167" t="s">
        <v>132</v>
      </c>
      <c r="P5" s="167" t="s">
        <v>132</v>
      </c>
      <c r="Q5" s="171" t="s">
        <v>133</v>
      </c>
      <c r="R5" s="169"/>
      <c r="S5" s="169"/>
      <c r="T5" s="164"/>
      <c r="U5" s="80"/>
      <c r="V5" s="152"/>
      <c r="W5" s="121"/>
      <c r="X5" s="152"/>
      <c r="Y5" s="121"/>
      <c r="Z5" s="152"/>
      <c r="AA5" s="121"/>
      <c r="AB5" s="153"/>
      <c r="AC5" s="121"/>
      <c r="AD5" s="121"/>
      <c r="AE5" s="121"/>
    </row>
    <row r="6" spans="1:31" ht="15.75" customHeight="1">
      <c r="A6" s="165"/>
      <c r="B6" s="172" t="s">
        <v>19</v>
      </c>
      <c r="C6" s="166">
        <v>0.41875000000000001</v>
      </c>
      <c r="D6" s="167">
        <v>33.4</v>
      </c>
      <c r="E6" s="167">
        <v>74.900000000000006</v>
      </c>
      <c r="F6" s="167">
        <v>4380</v>
      </c>
      <c r="G6" s="168" t="s">
        <v>134</v>
      </c>
      <c r="H6" s="169"/>
      <c r="I6" s="169"/>
      <c r="J6" s="164"/>
      <c r="K6" s="167">
        <v>4.5</v>
      </c>
      <c r="L6" s="167">
        <v>13.57</v>
      </c>
      <c r="M6" s="167">
        <v>37.1</v>
      </c>
      <c r="N6" s="167">
        <v>21.51</v>
      </c>
      <c r="O6" s="167">
        <v>47.26</v>
      </c>
      <c r="P6" s="167">
        <v>14.7</v>
      </c>
      <c r="Q6" s="168" t="s">
        <v>135</v>
      </c>
      <c r="R6" s="169"/>
      <c r="S6" s="169"/>
      <c r="T6" s="164"/>
      <c r="U6" s="80"/>
      <c r="V6" s="152"/>
      <c r="W6" s="121"/>
      <c r="X6" s="152"/>
      <c r="Y6" s="121"/>
      <c r="Z6" s="152"/>
      <c r="AA6" s="121"/>
      <c r="AB6" s="153"/>
      <c r="AC6" s="121"/>
      <c r="AD6" s="121"/>
      <c r="AE6" s="121"/>
    </row>
    <row r="7" spans="1:31" ht="15.75" customHeight="1">
      <c r="A7" s="165"/>
      <c r="B7" s="165" t="s">
        <v>33</v>
      </c>
      <c r="C7" s="166">
        <v>0.42499999999999999</v>
      </c>
      <c r="D7" s="167">
        <v>32.299999999999997</v>
      </c>
      <c r="E7" s="167">
        <v>63.8</v>
      </c>
      <c r="F7" s="170" t="s">
        <v>136</v>
      </c>
      <c r="G7" s="168" t="s">
        <v>137</v>
      </c>
      <c r="H7" s="169"/>
      <c r="I7" s="169"/>
      <c r="J7" s="164"/>
      <c r="K7" s="167">
        <v>91.5</v>
      </c>
      <c r="L7" s="167">
        <v>25.15</v>
      </c>
      <c r="M7" s="167">
        <v>36.32</v>
      </c>
      <c r="N7" s="167">
        <v>258</v>
      </c>
      <c r="O7" s="167">
        <v>36.81</v>
      </c>
      <c r="P7" s="167">
        <v>22.14</v>
      </c>
      <c r="Q7" s="168" t="s">
        <v>138</v>
      </c>
      <c r="R7" s="169"/>
      <c r="S7" s="169"/>
      <c r="T7" s="164"/>
      <c r="U7" s="80"/>
      <c r="V7" s="152"/>
      <c r="W7" s="121"/>
      <c r="X7" s="152"/>
      <c r="Y7" s="121"/>
      <c r="Z7" s="152"/>
      <c r="AA7" s="121"/>
      <c r="AB7" s="153"/>
      <c r="AC7" s="121"/>
      <c r="AD7" s="121"/>
      <c r="AE7" s="121"/>
    </row>
    <row r="8" spans="1:31" ht="15.75" customHeight="1">
      <c r="A8" s="165"/>
      <c r="B8" s="165" t="s">
        <v>37</v>
      </c>
      <c r="C8" s="166">
        <v>0.44444444444444442</v>
      </c>
      <c r="D8" s="167">
        <v>30.2</v>
      </c>
      <c r="E8" s="167">
        <v>66.5</v>
      </c>
      <c r="F8" s="167">
        <v>12270</v>
      </c>
      <c r="G8" s="168" t="s">
        <v>139</v>
      </c>
      <c r="H8" s="169"/>
      <c r="I8" s="169"/>
      <c r="J8" s="169"/>
      <c r="K8" s="167">
        <v>15.7</v>
      </c>
      <c r="L8" s="167">
        <v>47.83</v>
      </c>
      <c r="M8" s="167">
        <v>12.54</v>
      </c>
      <c r="N8" s="167">
        <v>29.85</v>
      </c>
      <c r="O8" s="167">
        <v>33.450000000000003</v>
      </c>
      <c r="P8" s="167">
        <v>21.88</v>
      </c>
      <c r="Q8" s="168" t="s">
        <v>131</v>
      </c>
      <c r="R8" s="169"/>
      <c r="S8" s="169"/>
      <c r="T8" s="164"/>
      <c r="U8" s="80"/>
      <c r="V8" s="152"/>
      <c r="W8" s="121"/>
      <c r="X8" s="152"/>
      <c r="Y8" s="121"/>
      <c r="Z8" s="152"/>
      <c r="AA8" s="121"/>
      <c r="AB8" s="153"/>
      <c r="AC8" s="121"/>
      <c r="AD8" s="121"/>
      <c r="AE8" s="121"/>
    </row>
    <row r="9" spans="1:31" ht="15.75" customHeight="1">
      <c r="A9" s="165"/>
      <c r="B9" s="165" t="s">
        <v>35</v>
      </c>
      <c r="C9" s="166">
        <v>0.46041666666666664</v>
      </c>
      <c r="D9" s="167">
        <v>33.799999999999997</v>
      </c>
      <c r="E9" s="167">
        <v>76.400000000000006</v>
      </c>
      <c r="F9" s="170" t="s">
        <v>140</v>
      </c>
      <c r="G9" s="168" t="s">
        <v>141</v>
      </c>
      <c r="H9" s="169"/>
      <c r="I9" s="169"/>
      <c r="J9" s="169"/>
      <c r="K9" s="167">
        <v>10</v>
      </c>
      <c r="L9" s="167">
        <v>16.97</v>
      </c>
      <c r="M9" s="167">
        <v>50.88</v>
      </c>
      <c r="N9" s="167">
        <v>17.37</v>
      </c>
      <c r="O9" s="167">
        <v>16.079999999999998</v>
      </c>
      <c r="P9" s="167">
        <v>65.75</v>
      </c>
      <c r="Q9" s="168" t="s">
        <v>142</v>
      </c>
      <c r="R9" s="169"/>
      <c r="S9" s="169"/>
      <c r="T9" s="164"/>
      <c r="U9" s="80"/>
      <c r="V9" s="152"/>
      <c r="W9" s="121"/>
      <c r="X9" s="152"/>
      <c r="Y9" s="121"/>
      <c r="Z9" s="152"/>
      <c r="AA9" s="121"/>
      <c r="AB9" s="153"/>
      <c r="AC9" s="121"/>
      <c r="AD9" s="121"/>
      <c r="AE9" s="121"/>
    </row>
    <row r="10" spans="1:31" ht="15.75" customHeight="1">
      <c r="A10" s="165" t="s">
        <v>143</v>
      </c>
      <c r="B10" s="165" t="s">
        <v>35</v>
      </c>
      <c r="C10" s="166">
        <v>0.6333333333333333</v>
      </c>
      <c r="D10" s="167" t="s">
        <v>132</v>
      </c>
      <c r="E10" s="167" t="s">
        <v>132</v>
      </c>
      <c r="F10" s="167" t="s">
        <v>132</v>
      </c>
      <c r="G10" s="168" t="s">
        <v>132</v>
      </c>
      <c r="H10" s="169"/>
      <c r="I10" s="169"/>
      <c r="J10" s="169"/>
      <c r="K10" s="170" t="s">
        <v>132</v>
      </c>
      <c r="L10" s="170" t="s">
        <v>132</v>
      </c>
      <c r="M10" s="170" t="s">
        <v>132</v>
      </c>
      <c r="N10" s="170" t="s">
        <v>132</v>
      </c>
      <c r="O10" s="170" t="s">
        <v>132</v>
      </c>
      <c r="P10" s="170" t="s">
        <v>132</v>
      </c>
      <c r="Q10" s="171" t="s">
        <v>144</v>
      </c>
      <c r="R10" s="169"/>
      <c r="S10" s="169"/>
      <c r="T10" s="164"/>
      <c r="U10" s="80"/>
      <c r="V10" s="152"/>
      <c r="W10" s="121"/>
      <c r="X10" s="152"/>
      <c r="Y10" s="121"/>
      <c r="Z10" s="152"/>
      <c r="AA10" s="121"/>
      <c r="AB10" s="153"/>
      <c r="AC10" s="121"/>
      <c r="AD10" s="121"/>
      <c r="AE10" s="121"/>
    </row>
    <row r="11" spans="1:31" ht="15.75" customHeight="1">
      <c r="A11" s="165"/>
      <c r="B11" s="165" t="s">
        <v>33</v>
      </c>
      <c r="C11" s="166">
        <v>0.64652777777777781</v>
      </c>
      <c r="D11" s="170">
        <v>28.2</v>
      </c>
      <c r="E11" s="170">
        <v>74.8</v>
      </c>
      <c r="F11" s="170">
        <v>2360</v>
      </c>
      <c r="G11" s="168" t="s">
        <v>145</v>
      </c>
      <c r="H11" s="169"/>
      <c r="I11" s="169"/>
      <c r="J11" s="169"/>
      <c r="K11" s="170">
        <v>50.7</v>
      </c>
      <c r="L11" s="170">
        <v>51.14</v>
      </c>
      <c r="M11" s="170">
        <v>240</v>
      </c>
      <c r="N11" s="170">
        <v>218</v>
      </c>
      <c r="O11" s="170">
        <v>19.72</v>
      </c>
      <c r="P11" s="170">
        <v>17.52</v>
      </c>
      <c r="Q11" s="171" t="s">
        <v>146</v>
      </c>
      <c r="R11" s="169"/>
      <c r="S11" s="169"/>
      <c r="T11" s="164"/>
      <c r="U11" s="80"/>
      <c r="V11" s="152"/>
      <c r="W11" s="121"/>
      <c r="X11" s="152"/>
      <c r="Y11" s="121"/>
      <c r="Z11" s="152"/>
      <c r="AA11" s="121"/>
      <c r="AB11" s="153"/>
      <c r="AC11" s="121"/>
      <c r="AD11" s="121"/>
      <c r="AE11" s="121"/>
    </row>
    <row r="12" spans="1:31" ht="15.75" customHeight="1">
      <c r="A12" s="165"/>
      <c r="B12" s="165" t="s">
        <v>19</v>
      </c>
      <c r="C12" s="166">
        <v>0.67013888888888884</v>
      </c>
      <c r="D12" s="170" t="s">
        <v>132</v>
      </c>
      <c r="E12" s="170" t="s">
        <v>132</v>
      </c>
      <c r="F12" s="170" t="s">
        <v>132</v>
      </c>
      <c r="G12" s="168" t="s">
        <v>147</v>
      </c>
      <c r="H12" s="169"/>
      <c r="I12" s="169"/>
      <c r="J12" s="169"/>
      <c r="K12" s="170" t="s">
        <v>132</v>
      </c>
      <c r="L12" s="170" t="s">
        <v>132</v>
      </c>
      <c r="M12" s="170" t="s">
        <v>132</v>
      </c>
      <c r="N12" s="170" t="s">
        <v>132</v>
      </c>
      <c r="O12" s="170" t="s">
        <v>132</v>
      </c>
      <c r="P12" s="170" t="s">
        <v>132</v>
      </c>
      <c r="Q12" s="171" t="s">
        <v>133</v>
      </c>
      <c r="R12" s="169"/>
      <c r="S12" s="169"/>
      <c r="T12" s="164"/>
      <c r="U12" s="80"/>
      <c r="V12" s="152"/>
      <c r="W12" s="121"/>
      <c r="X12" s="152"/>
      <c r="Y12" s="121"/>
      <c r="Z12" s="152"/>
      <c r="AA12" s="121"/>
      <c r="AB12" s="153"/>
      <c r="AC12" s="121"/>
      <c r="AD12" s="121"/>
      <c r="AE12" s="121"/>
    </row>
    <row r="13" spans="1:31" ht="15.75" customHeight="1">
      <c r="A13" s="165"/>
      <c r="B13" s="165" t="s">
        <v>37</v>
      </c>
      <c r="C13" s="166">
        <v>0.68055555555555558</v>
      </c>
      <c r="D13" s="170" t="s">
        <v>132</v>
      </c>
      <c r="E13" s="170" t="s">
        <v>132</v>
      </c>
      <c r="F13" s="170" t="s">
        <v>132</v>
      </c>
      <c r="G13" s="168" t="s">
        <v>132</v>
      </c>
      <c r="H13" s="169"/>
      <c r="I13" s="169"/>
      <c r="J13" s="169"/>
      <c r="K13" s="170" t="s">
        <v>132</v>
      </c>
      <c r="L13" s="170" t="s">
        <v>132</v>
      </c>
      <c r="M13" s="170" t="s">
        <v>132</v>
      </c>
      <c r="N13" s="170" t="s">
        <v>132</v>
      </c>
      <c r="O13" s="170" t="s">
        <v>132</v>
      </c>
      <c r="P13" s="170" t="s">
        <v>132</v>
      </c>
      <c r="Q13" s="171" t="s">
        <v>133</v>
      </c>
      <c r="R13" s="169"/>
      <c r="S13" s="169"/>
      <c r="T13" s="164"/>
      <c r="U13" s="80"/>
      <c r="V13" s="152"/>
      <c r="W13" s="121"/>
      <c r="X13" s="152"/>
      <c r="Y13" s="121"/>
      <c r="Z13" s="152"/>
      <c r="AA13" s="121"/>
      <c r="AB13" s="153"/>
      <c r="AC13" s="121"/>
      <c r="AD13" s="121"/>
      <c r="AE13" s="121"/>
    </row>
    <row r="14" spans="1:31" ht="15.75" customHeight="1">
      <c r="A14" s="165"/>
      <c r="B14" s="165" t="s">
        <v>30</v>
      </c>
      <c r="C14" s="166">
        <v>0.69444444444444442</v>
      </c>
      <c r="D14" s="170" t="s">
        <v>132</v>
      </c>
      <c r="E14" s="170" t="s">
        <v>132</v>
      </c>
      <c r="F14" s="170" t="s">
        <v>132</v>
      </c>
      <c r="G14" s="168" t="s">
        <v>132</v>
      </c>
      <c r="H14" s="169"/>
      <c r="I14" s="169"/>
      <c r="J14" s="169"/>
      <c r="K14" s="170" t="s">
        <v>132</v>
      </c>
      <c r="L14" s="170" t="s">
        <v>132</v>
      </c>
      <c r="M14" s="170" t="s">
        <v>132</v>
      </c>
      <c r="N14" s="170" t="s">
        <v>132</v>
      </c>
      <c r="O14" s="170" t="s">
        <v>132</v>
      </c>
      <c r="P14" s="170" t="s">
        <v>132</v>
      </c>
      <c r="Q14" s="171" t="s">
        <v>133</v>
      </c>
      <c r="R14" s="169"/>
      <c r="S14" s="169"/>
      <c r="T14" s="164"/>
      <c r="U14" s="39"/>
      <c r="V14" s="155"/>
      <c r="W14" s="121"/>
      <c r="X14" s="152"/>
      <c r="Y14" s="121"/>
      <c r="Z14" s="152"/>
      <c r="AA14" s="121"/>
      <c r="AB14" s="153"/>
      <c r="AC14" s="121"/>
      <c r="AD14" s="121"/>
      <c r="AE14" s="121"/>
    </row>
    <row r="15" spans="1:31" ht="15.75" customHeight="1">
      <c r="A15" s="165" t="s">
        <v>148</v>
      </c>
      <c r="B15" s="165" t="s">
        <v>33</v>
      </c>
      <c r="C15" s="173">
        <v>0.89583333333333337</v>
      </c>
      <c r="D15" s="170">
        <v>29.6</v>
      </c>
      <c r="E15" s="170">
        <v>74.599999999999994</v>
      </c>
      <c r="F15" s="170">
        <v>0</v>
      </c>
      <c r="G15" s="168" t="s">
        <v>149</v>
      </c>
      <c r="H15" s="169"/>
      <c r="I15" s="169"/>
      <c r="J15" s="169"/>
      <c r="K15" s="170">
        <v>50.8</v>
      </c>
      <c r="L15" s="170">
        <v>12.65</v>
      </c>
      <c r="M15" s="170">
        <v>110.61</v>
      </c>
      <c r="N15" s="170">
        <v>6.18</v>
      </c>
      <c r="O15" s="170">
        <v>0</v>
      </c>
      <c r="P15" s="170">
        <v>69.67</v>
      </c>
      <c r="Q15" s="168" t="s">
        <v>150</v>
      </c>
      <c r="R15" s="169"/>
      <c r="S15" s="169"/>
      <c r="T15" s="164"/>
      <c r="U15" s="80"/>
      <c r="V15" s="152"/>
      <c r="W15" s="121"/>
      <c r="X15" s="152"/>
      <c r="Y15" s="121"/>
      <c r="Z15" s="152"/>
      <c r="AA15" s="121"/>
      <c r="AB15" s="153"/>
      <c r="AC15" s="121"/>
      <c r="AD15" s="121"/>
      <c r="AE15" s="121"/>
    </row>
    <row r="16" spans="1:31" ht="15.75" customHeight="1">
      <c r="A16" s="165" t="s">
        <v>151</v>
      </c>
      <c r="B16" s="165" t="s">
        <v>33</v>
      </c>
      <c r="C16" s="173">
        <v>0.6875</v>
      </c>
      <c r="D16" s="170">
        <v>26.1</v>
      </c>
      <c r="E16" s="170">
        <v>81</v>
      </c>
      <c r="F16" s="170">
        <v>4220</v>
      </c>
      <c r="G16" s="168" t="s">
        <v>152</v>
      </c>
      <c r="H16" s="169"/>
      <c r="I16" s="169"/>
      <c r="J16" s="169"/>
      <c r="K16" s="170">
        <v>43.3</v>
      </c>
      <c r="L16" s="170">
        <v>149.16</v>
      </c>
      <c r="M16" s="170">
        <v>23.83</v>
      </c>
      <c r="N16" s="170">
        <v>43.84</v>
      </c>
      <c r="O16" s="170">
        <v>110.65</v>
      </c>
      <c r="P16" s="170">
        <v>23.04</v>
      </c>
      <c r="Q16" s="168" t="s">
        <v>153</v>
      </c>
      <c r="R16" s="169"/>
      <c r="S16" s="169"/>
      <c r="T16" s="164"/>
      <c r="U16" s="80"/>
      <c r="V16" s="152"/>
      <c r="W16" s="121"/>
      <c r="X16" s="152"/>
      <c r="Y16" s="121"/>
      <c r="Z16" s="152"/>
      <c r="AA16" s="121"/>
      <c r="AB16" s="153"/>
      <c r="AC16" s="121"/>
      <c r="AD16" s="121"/>
      <c r="AE16" s="121"/>
    </row>
    <row r="17" spans="1:31" ht="15.75" customHeight="1">
      <c r="A17" s="165" t="s">
        <v>154</v>
      </c>
      <c r="B17" s="165" t="s">
        <v>33</v>
      </c>
      <c r="C17" s="173">
        <v>0.88888888888888884</v>
      </c>
      <c r="D17" s="170">
        <v>25.4</v>
      </c>
      <c r="E17" s="170">
        <v>84.9</v>
      </c>
      <c r="F17" s="170">
        <v>0</v>
      </c>
      <c r="G17" s="168" t="s">
        <v>149</v>
      </c>
      <c r="H17" s="169"/>
      <c r="I17" s="169"/>
      <c r="J17" s="169"/>
      <c r="K17" s="170">
        <v>62.8</v>
      </c>
      <c r="L17" s="170">
        <v>42.08</v>
      </c>
      <c r="M17" s="170">
        <v>194</v>
      </c>
      <c r="N17" s="170">
        <v>30.67</v>
      </c>
      <c r="O17" s="170" t="s">
        <v>155</v>
      </c>
      <c r="P17" s="170">
        <v>243</v>
      </c>
      <c r="Q17" s="168" t="s">
        <v>132</v>
      </c>
      <c r="R17" s="169"/>
      <c r="S17" s="169"/>
      <c r="T17" s="164"/>
      <c r="U17" s="79"/>
      <c r="V17" s="148"/>
      <c r="W17" s="121"/>
      <c r="X17" s="148"/>
      <c r="Y17" s="121"/>
      <c r="Z17" s="148"/>
      <c r="AA17" s="121"/>
      <c r="AB17" s="149"/>
      <c r="AC17" s="121"/>
      <c r="AD17" s="121"/>
      <c r="AE17" s="121"/>
    </row>
    <row r="18" spans="1:31" ht="14">
      <c r="A18" s="165" t="s">
        <v>156</v>
      </c>
      <c r="B18" s="165" t="s">
        <v>33</v>
      </c>
      <c r="C18" s="173">
        <v>0.29444444444444445</v>
      </c>
      <c r="D18" s="170">
        <v>26.3</v>
      </c>
      <c r="E18" s="170">
        <v>85</v>
      </c>
      <c r="F18" s="170">
        <v>13130</v>
      </c>
      <c r="G18" s="168" t="s">
        <v>157</v>
      </c>
      <c r="H18" s="169"/>
      <c r="I18" s="169"/>
      <c r="J18" s="169"/>
      <c r="K18" s="170">
        <v>49.9</v>
      </c>
      <c r="L18" s="170">
        <v>42.14</v>
      </c>
      <c r="M18" s="170">
        <v>84.99</v>
      </c>
      <c r="N18" s="170">
        <v>35.200000000000003</v>
      </c>
      <c r="O18" s="170">
        <v>13.14</v>
      </c>
      <c r="P18" s="170">
        <v>25.19</v>
      </c>
      <c r="Q18" s="168"/>
      <c r="R18" s="169"/>
      <c r="S18" s="169"/>
      <c r="T18" s="164"/>
      <c r="U18" s="79"/>
      <c r="V18" s="148"/>
      <c r="W18" s="121"/>
      <c r="X18" s="148"/>
      <c r="Y18" s="121"/>
      <c r="Z18" s="148"/>
      <c r="AA18" s="121"/>
      <c r="AB18" s="149"/>
      <c r="AC18" s="121"/>
      <c r="AD18" s="121"/>
      <c r="AE18" s="121"/>
    </row>
    <row r="19" spans="1:31" ht="13">
      <c r="A19" s="165" t="s">
        <v>158</v>
      </c>
      <c r="B19" s="165" t="s">
        <v>33</v>
      </c>
      <c r="C19" s="166">
        <v>0.70694444444444449</v>
      </c>
      <c r="D19" s="174">
        <v>29.7</v>
      </c>
      <c r="E19" s="174">
        <v>68</v>
      </c>
      <c r="F19" s="174">
        <v>1955</v>
      </c>
      <c r="G19" s="175" t="s">
        <v>159</v>
      </c>
      <c r="H19" s="169"/>
      <c r="I19" s="169"/>
      <c r="J19" s="164"/>
      <c r="K19" s="174">
        <v>86.3</v>
      </c>
      <c r="L19" s="174">
        <v>183.25</v>
      </c>
      <c r="M19" s="174">
        <v>84.3</v>
      </c>
      <c r="N19" s="174">
        <v>120</v>
      </c>
      <c r="O19" s="174">
        <v>174</v>
      </c>
      <c r="P19" s="174" t="s">
        <v>155</v>
      </c>
      <c r="Q19" s="168"/>
      <c r="R19" s="169"/>
      <c r="S19" s="169"/>
      <c r="T19" s="164"/>
      <c r="U19" s="79"/>
      <c r="V19" s="148"/>
      <c r="W19" s="121"/>
      <c r="X19" s="148"/>
      <c r="Y19" s="121"/>
      <c r="Z19" s="148"/>
      <c r="AA19" s="121"/>
      <c r="AB19" s="149"/>
      <c r="AC19" s="121"/>
      <c r="AD19" s="121"/>
      <c r="AE19" s="121"/>
    </row>
    <row r="20" spans="1:31" ht="14">
      <c r="A20" s="165" t="s">
        <v>162</v>
      </c>
      <c r="B20" s="165" t="s">
        <v>33</v>
      </c>
      <c r="C20" s="166">
        <v>0.88888888888888884</v>
      </c>
      <c r="D20" s="170">
        <v>25.3</v>
      </c>
      <c r="E20" s="170">
        <v>86.6</v>
      </c>
      <c r="F20" s="170">
        <v>0</v>
      </c>
      <c r="G20" s="168" t="s">
        <v>149</v>
      </c>
      <c r="H20" s="169"/>
      <c r="I20" s="169"/>
      <c r="J20" s="169"/>
      <c r="K20" s="170">
        <v>70.8</v>
      </c>
      <c r="L20" s="170">
        <v>19.79</v>
      </c>
      <c r="M20" s="170">
        <v>245</v>
      </c>
      <c r="N20" s="170">
        <v>12.29</v>
      </c>
      <c r="O20" s="170">
        <v>226</v>
      </c>
      <c r="P20" s="170">
        <v>341</v>
      </c>
      <c r="Q20" s="168"/>
      <c r="R20" s="169"/>
      <c r="S20" s="169"/>
      <c r="T20" s="164"/>
      <c r="U20" s="11"/>
      <c r="V20" s="146"/>
      <c r="W20" s="121"/>
      <c r="X20" s="146"/>
      <c r="Y20" s="121"/>
      <c r="Z20" s="146"/>
      <c r="AA20" s="121"/>
      <c r="AB20" s="154"/>
      <c r="AC20" s="121"/>
      <c r="AD20" s="121"/>
      <c r="AE20" s="121"/>
    </row>
    <row r="21" spans="1:31" ht="14">
      <c r="A21" s="165" t="s">
        <v>163</v>
      </c>
      <c r="B21" s="165" t="s">
        <v>39</v>
      </c>
      <c r="C21" s="166">
        <v>0.60486111111111107</v>
      </c>
      <c r="D21" s="170">
        <v>31.2</v>
      </c>
      <c r="E21" s="170">
        <v>74.900000000000006</v>
      </c>
      <c r="F21" s="170">
        <v>12910</v>
      </c>
      <c r="G21" s="168" t="s">
        <v>152</v>
      </c>
      <c r="H21" s="169"/>
      <c r="I21" s="169"/>
      <c r="J21" s="169"/>
      <c r="K21" s="170">
        <v>27</v>
      </c>
      <c r="L21" s="170">
        <v>12.49</v>
      </c>
      <c r="M21" s="170">
        <v>142</v>
      </c>
      <c r="N21" s="170">
        <v>380</v>
      </c>
      <c r="O21" s="170">
        <v>68.33</v>
      </c>
      <c r="P21" s="170">
        <v>228</v>
      </c>
      <c r="Q21" s="168" t="s">
        <v>164</v>
      </c>
      <c r="R21" s="169"/>
      <c r="S21" s="169"/>
      <c r="T21" s="164"/>
      <c r="U21" s="11"/>
      <c r="V21" s="146"/>
      <c r="W21" s="121"/>
      <c r="X21" s="146"/>
      <c r="Y21" s="121"/>
      <c r="Z21" s="146"/>
      <c r="AA21" s="121"/>
      <c r="AB21" s="154"/>
      <c r="AC21" s="121"/>
      <c r="AD21" s="121"/>
      <c r="AE21" s="121"/>
    </row>
    <row r="22" spans="1:31" ht="14">
      <c r="A22" s="165" t="s">
        <v>165</v>
      </c>
      <c r="B22" s="165" t="s">
        <v>44</v>
      </c>
      <c r="C22" s="166">
        <v>0.61458333333333337</v>
      </c>
      <c r="D22" s="170">
        <v>31.3</v>
      </c>
      <c r="E22" s="170">
        <v>75.7</v>
      </c>
      <c r="F22" s="170">
        <v>13360</v>
      </c>
      <c r="G22" s="168" t="s">
        <v>152</v>
      </c>
      <c r="H22" s="169"/>
      <c r="I22" s="169"/>
      <c r="J22" s="169"/>
      <c r="K22" s="170">
        <v>45.6</v>
      </c>
      <c r="L22" s="170">
        <v>46.51</v>
      </c>
      <c r="M22" s="170">
        <v>26.96</v>
      </c>
      <c r="N22" s="170">
        <v>27.09</v>
      </c>
      <c r="O22" s="170">
        <v>50.93</v>
      </c>
      <c r="P22" s="170">
        <v>49.3</v>
      </c>
      <c r="Q22" s="168"/>
      <c r="R22" s="169"/>
      <c r="S22" s="169"/>
      <c r="T22" s="164"/>
      <c r="U22" s="11"/>
      <c r="V22" s="146"/>
      <c r="W22" s="121"/>
      <c r="X22" s="146"/>
      <c r="Y22" s="121"/>
      <c r="Z22" s="146"/>
      <c r="AA22" s="121"/>
      <c r="AB22" s="154"/>
      <c r="AC22" s="121"/>
      <c r="AD22" s="121"/>
      <c r="AE22" s="121"/>
    </row>
    <row r="23" spans="1:31" ht="14">
      <c r="A23" s="165"/>
      <c r="B23" s="165" t="s">
        <v>33</v>
      </c>
      <c r="C23" s="166">
        <v>0.625</v>
      </c>
      <c r="D23" s="170">
        <v>31.1</v>
      </c>
      <c r="E23" s="170">
        <v>730</v>
      </c>
      <c r="F23" s="170">
        <v>8080</v>
      </c>
      <c r="G23" s="168" t="s">
        <v>152</v>
      </c>
      <c r="H23" s="169"/>
      <c r="I23" s="169"/>
      <c r="J23" s="169"/>
      <c r="K23" s="170">
        <v>123.7</v>
      </c>
      <c r="L23" s="170">
        <v>60.87</v>
      </c>
      <c r="M23" s="170">
        <v>15.59</v>
      </c>
      <c r="N23" s="170">
        <v>19.03</v>
      </c>
      <c r="O23" s="170">
        <v>25.48</v>
      </c>
      <c r="P23" s="170">
        <v>54.14</v>
      </c>
      <c r="Q23" s="168"/>
      <c r="R23" s="169"/>
      <c r="S23" s="169"/>
      <c r="T23" s="164"/>
      <c r="U23" s="11"/>
      <c r="V23" s="146"/>
      <c r="W23" s="121"/>
      <c r="X23" s="146"/>
      <c r="Y23" s="121"/>
      <c r="Z23" s="146"/>
      <c r="AA23" s="121"/>
      <c r="AB23" s="154"/>
      <c r="AC23" s="121"/>
      <c r="AD23" s="121"/>
      <c r="AE23" s="121"/>
    </row>
    <row r="24" spans="1:31" ht="14">
      <c r="A24" s="165"/>
      <c r="B24" s="165" t="s">
        <v>23</v>
      </c>
      <c r="C24" s="170" t="s">
        <v>132</v>
      </c>
      <c r="D24" s="170" t="s">
        <v>132</v>
      </c>
      <c r="E24" s="170" t="s">
        <v>132</v>
      </c>
      <c r="F24" s="170" t="s">
        <v>132</v>
      </c>
      <c r="G24" s="168" t="s">
        <v>132</v>
      </c>
      <c r="H24" s="169"/>
      <c r="I24" s="169"/>
      <c r="J24" s="164"/>
      <c r="K24" s="170" t="s">
        <v>132</v>
      </c>
      <c r="L24" s="170" t="s">
        <v>132</v>
      </c>
      <c r="M24" s="170" t="s">
        <v>132</v>
      </c>
      <c r="N24" s="170" t="s">
        <v>132</v>
      </c>
      <c r="O24" s="170" t="s">
        <v>132</v>
      </c>
      <c r="P24" s="170" t="s">
        <v>132</v>
      </c>
      <c r="Q24" s="171" t="s">
        <v>133</v>
      </c>
      <c r="R24" s="169"/>
      <c r="S24" s="169"/>
      <c r="T24" s="164"/>
      <c r="U24" s="11"/>
      <c r="V24" s="146"/>
      <c r="W24" s="121"/>
      <c r="X24" s="146"/>
      <c r="Y24" s="121"/>
      <c r="Z24" s="146"/>
      <c r="AA24" s="121"/>
      <c r="AB24" s="154"/>
      <c r="AC24" s="121"/>
      <c r="AD24" s="121"/>
      <c r="AE24" s="121"/>
    </row>
    <row r="25" spans="1:31" ht="14">
      <c r="A25" s="165"/>
      <c r="B25" s="165" t="s">
        <v>42</v>
      </c>
      <c r="C25" s="166">
        <v>0.64236111111111116</v>
      </c>
      <c r="D25" s="170">
        <v>30.7</v>
      </c>
      <c r="E25" s="170">
        <v>8.0500000000000007</v>
      </c>
      <c r="F25" s="170">
        <v>5591</v>
      </c>
      <c r="G25" s="168" t="s">
        <v>152</v>
      </c>
      <c r="H25" s="169"/>
      <c r="I25" s="169"/>
      <c r="J25" s="169"/>
      <c r="K25" s="170">
        <v>26.8</v>
      </c>
      <c r="L25" s="170">
        <v>6.33</v>
      </c>
      <c r="M25" s="170">
        <v>23.61</v>
      </c>
      <c r="N25" s="170">
        <v>5.57</v>
      </c>
      <c r="O25" s="170">
        <v>61.2</v>
      </c>
      <c r="P25" s="170">
        <v>52.13</v>
      </c>
      <c r="Q25" s="168" t="s">
        <v>166</v>
      </c>
      <c r="R25" s="169"/>
      <c r="S25" s="169"/>
      <c r="T25" s="164"/>
      <c r="U25" s="11"/>
      <c r="V25" s="146"/>
      <c r="W25" s="121"/>
      <c r="X25" s="146"/>
      <c r="Y25" s="121"/>
      <c r="Z25" s="146"/>
      <c r="AA25" s="121"/>
      <c r="AB25" s="154"/>
      <c r="AC25" s="121"/>
      <c r="AD25" s="121"/>
      <c r="AE25" s="121"/>
    </row>
    <row r="26" spans="1:31" ht="13">
      <c r="A26" s="165"/>
      <c r="B26" s="165" t="s">
        <v>48</v>
      </c>
      <c r="C26" s="166">
        <v>0.65694444444444444</v>
      </c>
      <c r="D26" s="167"/>
      <c r="E26" s="167"/>
      <c r="F26" s="167"/>
      <c r="G26" s="168"/>
      <c r="H26" s="169"/>
      <c r="I26" s="169"/>
      <c r="J26" s="169"/>
      <c r="K26" s="167"/>
      <c r="L26" s="167"/>
      <c r="M26" s="167"/>
      <c r="N26" s="167"/>
      <c r="O26" s="167"/>
      <c r="P26" s="167"/>
      <c r="Q26" s="171" t="s">
        <v>133</v>
      </c>
      <c r="R26" s="169"/>
      <c r="S26" s="169"/>
      <c r="T26" s="164"/>
      <c r="U26" s="11"/>
      <c r="V26" s="146"/>
      <c r="W26" s="121"/>
      <c r="X26" s="146"/>
      <c r="Y26" s="121"/>
      <c r="Z26" s="146"/>
      <c r="AA26" s="121"/>
      <c r="AB26" s="154"/>
      <c r="AC26" s="121"/>
      <c r="AD26" s="121"/>
      <c r="AE26" s="121"/>
    </row>
    <row r="27" spans="1:31" ht="14">
      <c r="A27" s="165"/>
      <c r="B27" s="165" t="s">
        <v>46</v>
      </c>
      <c r="C27" s="166">
        <v>0.6694444444444444</v>
      </c>
      <c r="D27" s="170">
        <v>30.5</v>
      </c>
      <c r="E27" s="170">
        <v>77.2</v>
      </c>
      <c r="F27" s="170">
        <v>1168</v>
      </c>
      <c r="G27" s="168" t="s">
        <v>134</v>
      </c>
      <c r="H27" s="169"/>
      <c r="I27" s="169"/>
      <c r="J27" s="169"/>
      <c r="K27" s="170">
        <v>59.1</v>
      </c>
      <c r="L27" s="170">
        <v>28.39</v>
      </c>
      <c r="M27" s="170">
        <v>97.15</v>
      </c>
      <c r="N27" s="170">
        <v>314</v>
      </c>
      <c r="O27" s="170">
        <v>59.41</v>
      </c>
      <c r="P27" s="170">
        <v>57.7</v>
      </c>
      <c r="Q27" s="168"/>
      <c r="R27" s="169"/>
      <c r="S27" s="169"/>
      <c r="T27" s="164"/>
      <c r="U27" s="11"/>
      <c r="V27" s="146"/>
      <c r="W27" s="121"/>
      <c r="X27" s="146"/>
      <c r="Y27" s="121"/>
      <c r="Z27" s="146"/>
      <c r="AA27" s="121"/>
      <c r="AB27" s="147"/>
      <c r="AC27" s="121"/>
      <c r="AD27" s="121"/>
      <c r="AE27" s="121"/>
    </row>
    <row r="28" spans="1:31" ht="14">
      <c r="A28" s="176" t="s">
        <v>167</v>
      </c>
      <c r="B28" s="176" t="s">
        <v>46</v>
      </c>
      <c r="C28" s="173">
        <v>0.95138888888888884</v>
      </c>
      <c r="D28" s="170">
        <v>25.4</v>
      </c>
      <c r="E28" s="170">
        <v>86.6</v>
      </c>
      <c r="F28" s="170">
        <v>0</v>
      </c>
      <c r="G28" s="168" t="s">
        <v>149</v>
      </c>
      <c r="H28" s="169"/>
      <c r="I28" s="169"/>
      <c r="J28" s="169"/>
      <c r="K28" s="170">
        <v>754.3</v>
      </c>
      <c r="L28" s="170">
        <v>30.48</v>
      </c>
      <c r="M28" s="170">
        <v>348</v>
      </c>
      <c r="N28" s="170">
        <v>83.01</v>
      </c>
      <c r="O28" s="170">
        <v>31.49</v>
      </c>
      <c r="P28" s="170">
        <v>443</v>
      </c>
      <c r="Q28" s="168"/>
      <c r="R28" s="169"/>
      <c r="S28" s="169"/>
      <c r="T28" s="164"/>
      <c r="U28" s="11"/>
      <c r="V28" s="146"/>
      <c r="W28" s="121"/>
      <c r="X28" s="146"/>
      <c r="Y28" s="121"/>
      <c r="Z28" s="146"/>
      <c r="AA28" s="121"/>
      <c r="AB28" s="147"/>
      <c r="AC28" s="121"/>
      <c r="AD28" s="121"/>
      <c r="AE28" s="121"/>
    </row>
    <row r="29" spans="1:31" ht="14">
      <c r="A29" s="165"/>
      <c r="B29" s="176" t="s">
        <v>39</v>
      </c>
      <c r="C29" s="173">
        <v>0.99305555555555558</v>
      </c>
      <c r="D29" s="170">
        <v>26.3</v>
      </c>
      <c r="E29" s="170">
        <v>82.2</v>
      </c>
      <c r="F29" s="170">
        <v>0</v>
      </c>
      <c r="G29" s="168" t="s">
        <v>149</v>
      </c>
      <c r="H29" s="169"/>
      <c r="I29" s="169"/>
      <c r="J29" s="169"/>
      <c r="K29" s="170">
        <v>76.900000000000006</v>
      </c>
      <c r="L29" s="170">
        <v>18.829999999999998</v>
      </c>
      <c r="M29" s="170">
        <v>960</v>
      </c>
      <c r="N29" s="170">
        <v>33.17</v>
      </c>
      <c r="O29" s="170">
        <v>66.290000000000006</v>
      </c>
      <c r="P29" s="170">
        <v>200</v>
      </c>
      <c r="Q29" s="168"/>
      <c r="R29" s="169"/>
      <c r="S29" s="169"/>
      <c r="T29" s="164"/>
      <c r="U29" s="11"/>
      <c r="V29" s="146"/>
      <c r="W29" s="121"/>
      <c r="X29" s="146"/>
      <c r="Y29" s="121"/>
      <c r="Z29" s="146"/>
      <c r="AA29" s="121"/>
      <c r="AB29" s="147"/>
      <c r="AC29" s="121"/>
      <c r="AD29" s="121"/>
      <c r="AE29" s="121"/>
    </row>
    <row r="30" spans="1:31" ht="14">
      <c r="A30" s="165"/>
      <c r="B30" s="176" t="s">
        <v>42</v>
      </c>
      <c r="C30" s="173">
        <v>0.97083333333333333</v>
      </c>
      <c r="D30" s="170">
        <v>26.5</v>
      </c>
      <c r="E30" s="170">
        <v>82.9</v>
      </c>
      <c r="F30" s="170">
        <v>0</v>
      </c>
      <c r="G30" s="168" t="s">
        <v>149</v>
      </c>
      <c r="H30" s="169"/>
      <c r="I30" s="169"/>
      <c r="J30" s="169"/>
      <c r="K30" s="170">
        <v>78.7</v>
      </c>
      <c r="L30" s="170">
        <v>45.7</v>
      </c>
      <c r="M30" s="170">
        <v>24.14</v>
      </c>
      <c r="N30" s="170">
        <v>56.96</v>
      </c>
      <c r="O30" s="170">
        <v>35.340000000000003</v>
      </c>
      <c r="P30" s="170">
        <v>29.2</v>
      </c>
      <c r="Q30" s="168"/>
      <c r="R30" s="169"/>
      <c r="S30" s="169"/>
      <c r="T30" s="164"/>
      <c r="U30" s="11"/>
      <c r="V30" s="146"/>
      <c r="W30" s="121"/>
      <c r="X30" s="146"/>
      <c r="Y30" s="121"/>
      <c r="Z30" s="146"/>
      <c r="AA30" s="121"/>
      <c r="AB30" s="147"/>
      <c r="AC30" s="121"/>
      <c r="AD30" s="121"/>
      <c r="AE30" s="121"/>
    </row>
    <row r="31" spans="1:31" ht="14">
      <c r="A31" s="165"/>
      <c r="B31" s="176" t="s">
        <v>33</v>
      </c>
      <c r="C31" s="173">
        <v>0.97569444444444442</v>
      </c>
      <c r="D31" s="170">
        <v>26.6</v>
      </c>
      <c r="E31" s="170">
        <v>80.7</v>
      </c>
      <c r="F31" s="170">
        <v>0</v>
      </c>
      <c r="G31" s="168" t="s">
        <v>149</v>
      </c>
      <c r="H31" s="169"/>
      <c r="I31" s="169"/>
      <c r="J31" s="169"/>
      <c r="K31" s="170">
        <v>157.5</v>
      </c>
      <c r="L31" s="170">
        <v>24.37</v>
      </c>
      <c r="M31" s="170" t="s">
        <v>155</v>
      </c>
      <c r="N31" s="170">
        <v>208</v>
      </c>
      <c r="O31" s="170">
        <v>22.98</v>
      </c>
      <c r="P31" s="170">
        <v>423</v>
      </c>
      <c r="Q31" s="168"/>
      <c r="R31" s="169"/>
      <c r="S31" s="169"/>
      <c r="T31" s="164"/>
      <c r="U31" s="11"/>
      <c r="V31" s="146"/>
      <c r="W31" s="121"/>
      <c r="X31" s="146"/>
      <c r="Y31" s="121"/>
      <c r="Z31" s="146"/>
      <c r="AA31" s="121"/>
      <c r="AB31" s="147"/>
      <c r="AC31" s="121"/>
      <c r="AD31" s="121"/>
      <c r="AE31" s="121"/>
    </row>
    <row r="32" spans="1:31" ht="14">
      <c r="A32" s="177"/>
      <c r="B32" s="176" t="s">
        <v>44</v>
      </c>
      <c r="C32" s="173">
        <v>0.97569444444444442</v>
      </c>
      <c r="D32" s="170">
        <v>26.6</v>
      </c>
      <c r="E32" s="170">
        <v>80.400000000000006</v>
      </c>
      <c r="F32" s="170">
        <v>0</v>
      </c>
      <c r="G32" s="168" t="s">
        <v>149</v>
      </c>
      <c r="H32" s="169"/>
      <c r="I32" s="169"/>
      <c r="J32" s="169"/>
      <c r="K32" s="170">
        <v>133.19999999999999</v>
      </c>
      <c r="L32" s="170">
        <v>19.170000000000002</v>
      </c>
      <c r="M32" s="170" t="s">
        <v>155</v>
      </c>
      <c r="N32" s="170">
        <v>141.33000000000001</v>
      </c>
      <c r="O32" s="170">
        <v>132.5</v>
      </c>
      <c r="P32" s="170">
        <v>490</v>
      </c>
      <c r="Q32" s="168"/>
      <c r="R32" s="169"/>
      <c r="S32" s="169"/>
      <c r="T32" s="164"/>
      <c r="U32" s="11"/>
      <c r="V32" s="146"/>
      <c r="W32" s="121"/>
      <c r="X32" s="146"/>
      <c r="Y32" s="121"/>
      <c r="Z32" s="146"/>
      <c r="AA32" s="121"/>
      <c r="AB32" s="147"/>
      <c r="AC32" s="121"/>
      <c r="AD32" s="121"/>
      <c r="AE32" s="121"/>
    </row>
    <row r="33" spans="1:31" ht="14">
      <c r="A33" s="176" t="s">
        <v>168</v>
      </c>
      <c r="B33" s="176" t="s">
        <v>42</v>
      </c>
      <c r="C33" s="173">
        <v>0.30208333333333331</v>
      </c>
      <c r="D33" s="170">
        <v>26.4</v>
      </c>
      <c r="E33" s="170">
        <v>89.3</v>
      </c>
      <c r="F33" s="170" t="s">
        <v>169</v>
      </c>
      <c r="G33" s="168" t="s">
        <v>170</v>
      </c>
      <c r="H33" s="169"/>
      <c r="I33" s="169"/>
      <c r="J33" s="169"/>
      <c r="K33" s="170">
        <v>51.7</v>
      </c>
      <c r="L33" s="170">
        <v>35.51</v>
      </c>
      <c r="M33" s="170">
        <v>64.150000000000006</v>
      </c>
      <c r="N33" s="170">
        <v>73.33</v>
      </c>
      <c r="O33" s="170">
        <v>14.71</v>
      </c>
      <c r="P33" s="170">
        <v>8.34</v>
      </c>
      <c r="Q33" s="168" t="s">
        <v>171</v>
      </c>
      <c r="R33" s="169"/>
      <c r="S33" s="169"/>
      <c r="T33" s="164"/>
      <c r="U33" s="11"/>
      <c r="V33" s="146"/>
      <c r="W33" s="121"/>
      <c r="X33" s="146"/>
      <c r="Y33" s="121"/>
      <c r="Z33" s="146"/>
      <c r="AA33" s="121"/>
      <c r="AB33" s="147"/>
      <c r="AC33" s="121"/>
      <c r="AD33" s="121"/>
      <c r="AE33" s="121"/>
    </row>
    <row r="34" spans="1:31" ht="14">
      <c r="A34" s="165"/>
      <c r="B34" s="176" t="s">
        <v>44</v>
      </c>
      <c r="C34" s="173">
        <v>0.31041666666666667</v>
      </c>
      <c r="D34" s="170">
        <v>30.7</v>
      </c>
      <c r="E34" s="170">
        <v>74.8</v>
      </c>
      <c r="F34" s="170" t="s">
        <v>172</v>
      </c>
      <c r="G34" s="168" t="s">
        <v>173</v>
      </c>
      <c r="H34" s="169"/>
      <c r="I34" s="169"/>
      <c r="J34" s="169"/>
      <c r="K34" s="170">
        <v>34.4</v>
      </c>
      <c r="L34" s="170">
        <v>33.299999999999997</v>
      </c>
      <c r="M34" s="170">
        <v>46.46</v>
      </c>
      <c r="N34" s="170">
        <v>69.56</v>
      </c>
      <c r="O34" s="170">
        <v>49.57</v>
      </c>
      <c r="P34" s="170">
        <v>29.14</v>
      </c>
      <c r="Q34" s="168" t="s">
        <v>174</v>
      </c>
      <c r="R34" s="169"/>
      <c r="S34" s="169"/>
      <c r="T34" s="164"/>
      <c r="U34" s="11"/>
      <c r="V34" s="146"/>
      <c r="W34" s="121"/>
      <c r="X34" s="146"/>
      <c r="Y34" s="121"/>
      <c r="Z34" s="146"/>
      <c r="AA34" s="121"/>
      <c r="AB34" s="147"/>
      <c r="AC34" s="121"/>
      <c r="AD34" s="121"/>
      <c r="AE34" s="121"/>
    </row>
    <row r="35" spans="1:31" ht="14">
      <c r="A35" s="165"/>
      <c r="B35" s="176" t="s">
        <v>33</v>
      </c>
      <c r="C35" s="173">
        <v>0.31111111111111112</v>
      </c>
      <c r="D35" s="170">
        <v>31.3</v>
      </c>
      <c r="E35" s="170">
        <v>73.7</v>
      </c>
      <c r="F35" s="170" t="s">
        <v>175</v>
      </c>
      <c r="G35" s="168" t="s">
        <v>176</v>
      </c>
      <c r="H35" s="169"/>
      <c r="I35" s="169"/>
      <c r="J35" s="169"/>
      <c r="K35" s="170">
        <v>126.6</v>
      </c>
      <c r="L35" s="170">
        <v>17.260000000000002</v>
      </c>
      <c r="M35" s="170">
        <v>86.56</v>
      </c>
      <c r="N35" s="170">
        <v>5.63</v>
      </c>
      <c r="O35" s="170">
        <v>192</v>
      </c>
      <c r="P35" s="170">
        <v>292</v>
      </c>
      <c r="Q35" s="168" t="s">
        <v>177</v>
      </c>
      <c r="R35" s="169"/>
      <c r="S35" s="169"/>
      <c r="T35" s="164"/>
      <c r="U35" s="11"/>
      <c r="V35" s="146"/>
      <c r="W35" s="121"/>
      <c r="X35" s="146"/>
      <c r="Y35" s="121"/>
      <c r="Z35" s="146"/>
      <c r="AA35" s="121"/>
      <c r="AB35" s="147"/>
      <c r="AC35" s="121"/>
      <c r="AD35" s="121"/>
      <c r="AE35" s="121"/>
    </row>
    <row r="36" spans="1:31" ht="14">
      <c r="A36" s="165"/>
      <c r="B36" s="176" t="s">
        <v>39</v>
      </c>
      <c r="C36" s="173">
        <v>0.33124999999999999</v>
      </c>
      <c r="D36" s="170">
        <v>33</v>
      </c>
      <c r="E36" s="170">
        <v>66.7</v>
      </c>
      <c r="F36" s="170">
        <v>4790</v>
      </c>
      <c r="G36" s="168" t="s">
        <v>178</v>
      </c>
      <c r="H36" s="169"/>
      <c r="I36" s="169"/>
      <c r="J36" s="169"/>
      <c r="K36" s="170">
        <v>28</v>
      </c>
      <c r="L36" s="170">
        <v>35.57</v>
      </c>
      <c r="M36" s="170">
        <v>38.71</v>
      </c>
      <c r="N36" s="170">
        <v>111.02</v>
      </c>
      <c r="O36" s="170">
        <v>78.03</v>
      </c>
      <c r="P36" s="170">
        <v>115.57</v>
      </c>
      <c r="Q36" s="168" t="s">
        <v>179</v>
      </c>
      <c r="R36" s="169"/>
      <c r="S36" s="169"/>
      <c r="T36" s="164"/>
      <c r="U36" s="11"/>
      <c r="V36" s="146"/>
      <c r="W36" s="121"/>
      <c r="X36" s="146"/>
      <c r="Y36" s="121"/>
      <c r="Z36" s="146"/>
      <c r="AA36" s="121"/>
      <c r="AB36" s="147"/>
      <c r="AC36" s="121"/>
      <c r="AD36" s="121"/>
      <c r="AE36" s="121"/>
    </row>
    <row r="37" spans="1:31" ht="14">
      <c r="A37" s="165"/>
      <c r="B37" s="176" t="s">
        <v>46</v>
      </c>
      <c r="C37" s="173">
        <v>0.34027777777777779</v>
      </c>
      <c r="D37" s="170">
        <v>36</v>
      </c>
      <c r="E37" s="170">
        <v>59.2</v>
      </c>
      <c r="F37" s="170">
        <v>809</v>
      </c>
      <c r="G37" s="168" t="s">
        <v>180</v>
      </c>
      <c r="H37" s="169"/>
      <c r="I37" s="169"/>
      <c r="J37" s="169"/>
      <c r="K37" s="170">
        <v>67.7</v>
      </c>
      <c r="L37" s="170">
        <v>12.52</v>
      </c>
      <c r="M37" s="170">
        <v>111.98</v>
      </c>
      <c r="N37" s="170">
        <v>21.96</v>
      </c>
      <c r="O37" s="170">
        <v>81.62</v>
      </c>
      <c r="P37" s="170">
        <v>65.89</v>
      </c>
      <c r="Q37" s="178" t="s">
        <v>181</v>
      </c>
      <c r="R37" s="169"/>
      <c r="S37" s="169"/>
      <c r="T37" s="164"/>
      <c r="U37" s="11"/>
      <c r="V37" s="146"/>
      <c r="W37" s="121"/>
      <c r="X37" s="146"/>
      <c r="Y37" s="121"/>
      <c r="Z37" s="146"/>
      <c r="AA37" s="121"/>
      <c r="AB37" s="147"/>
      <c r="AC37" s="121"/>
      <c r="AD37" s="121"/>
      <c r="AE37" s="121"/>
    </row>
    <row r="38" spans="1:31" ht="14">
      <c r="A38" s="176" t="s">
        <v>182</v>
      </c>
      <c r="B38" s="176" t="s">
        <v>39</v>
      </c>
      <c r="C38" s="173">
        <v>0.46458333333333335</v>
      </c>
      <c r="D38" s="170">
        <v>33.700000000000003</v>
      </c>
      <c r="E38" s="170">
        <v>67.7</v>
      </c>
      <c r="F38" s="170">
        <v>8930</v>
      </c>
      <c r="G38" s="168" t="s">
        <v>183</v>
      </c>
      <c r="H38" s="169"/>
      <c r="I38" s="169"/>
      <c r="J38" s="169"/>
      <c r="K38" s="167">
        <v>27.4</v>
      </c>
      <c r="L38" s="167">
        <v>27.94</v>
      </c>
      <c r="M38" s="167">
        <v>34.49</v>
      </c>
      <c r="N38" s="167">
        <v>10.4</v>
      </c>
      <c r="O38" s="167">
        <v>15.43</v>
      </c>
      <c r="P38" s="167">
        <v>31.49</v>
      </c>
      <c r="Q38" s="168"/>
      <c r="R38" s="169"/>
      <c r="S38" s="169"/>
      <c r="T38" s="164"/>
      <c r="U38" s="11"/>
      <c r="V38" s="146"/>
      <c r="W38" s="121"/>
      <c r="X38" s="146"/>
      <c r="Y38" s="121"/>
      <c r="Z38" s="146"/>
      <c r="AA38" s="121"/>
      <c r="AB38" s="147"/>
      <c r="AC38" s="121"/>
      <c r="AD38" s="121"/>
      <c r="AE38" s="121"/>
    </row>
    <row r="39" spans="1:31" ht="14">
      <c r="A39" s="165"/>
      <c r="B39" s="176" t="s">
        <v>46</v>
      </c>
      <c r="C39" s="173">
        <v>0.47430555555555554</v>
      </c>
      <c r="D39" s="170">
        <v>36</v>
      </c>
      <c r="E39" s="170">
        <v>64.099999999999994</v>
      </c>
      <c r="F39" s="170">
        <v>889</v>
      </c>
      <c r="G39" s="168" t="s">
        <v>184</v>
      </c>
      <c r="H39" s="169"/>
      <c r="I39" s="169"/>
      <c r="J39" s="169"/>
      <c r="K39" s="167">
        <v>0</v>
      </c>
      <c r="L39" s="167" t="s">
        <v>72</v>
      </c>
      <c r="M39" s="167" t="s">
        <v>72</v>
      </c>
      <c r="N39" s="167" t="s">
        <v>72</v>
      </c>
      <c r="O39" s="167" t="s">
        <v>72</v>
      </c>
      <c r="P39" s="167" t="s">
        <v>72</v>
      </c>
      <c r="Q39" s="168" t="s">
        <v>185</v>
      </c>
      <c r="R39" s="169"/>
      <c r="S39" s="169"/>
      <c r="T39" s="164"/>
      <c r="U39" s="11"/>
      <c r="V39" s="146"/>
      <c r="W39" s="121"/>
      <c r="X39" s="146"/>
      <c r="Y39" s="121"/>
      <c r="Z39" s="146"/>
      <c r="AA39" s="121"/>
      <c r="AB39" s="147"/>
      <c r="AC39" s="121"/>
      <c r="AD39" s="121"/>
      <c r="AE39" s="121"/>
    </row>
    <row r="40" spans="1:31" ht="14">
      <c r="A40" s="165"/>
      <c r="B40" s="176" t="s">
        <v>42</v>
      </c>
      <c r="C40" s="173">
        <v>0.47847222222222224</v>
      </c>
      <c r="D40" s="170">
        <v>37.5</v>
      </c>
      <c r="E40" s="170">
        <v>58.2</v>
      </c>
      <c r="F40" s="170">
        <v>10070</v>
      </c>
      <c r="G40" s="168" t="s">
        <v>186</v>
      </c>
      <c r="H40" s="169"/>
      <c r="I40" s="169"/>
      <c r="J40" s="169"/>
      <c r="K40" s="167">
        <v>51</v>
      </c>
      <c r="L40" s="167">
        <v>21.07</v>
      </c>
      <c r="M40" s="167">
        <v>9.48</v>
      </c>
      <c r="N40" s="167">
        <v>31.02</v>
      </c>
      <c r="O40" s="167">
        <v>19</v>
      </c>
      <c r="P40" s="167">
        <v>55.78</v>
      </c>
      <c r="Q40" s="168"/>
      <c r="R40" s="169"/>
      <c r="S40" s="169"/>
      <c r="T40" s="164"/>
      <c r="U40" s="11"/>
      <c r="V40" s="146"/>
      <c r="W40" s="121"/>
      <c r="X40" s="146"/>
      <c r="Y40" s="121"/>
      <c r="Z40" s="146"/>
      <c r="AA40" s="121"/>
      <c r="AB40" s="147"/>
      <c r="AC40" s="121"/>
      <c r="AD40" s="121"/>
      <c r="AE40" s="121"/>
    </row>
    <row r="41" spans="1:31" ht="14">
      <c r="A41" s="165"/>
      <c r="B41" s="176" t="s">
        <v>44</v>
      </c>
      <c r="C41" s="173">
        <v>0.48541666666666666</v>
      </c>
      <c r="D41" s="167">
        <v>37.799999999999997</v>
      </c>
      <c r="E41" s="167">
        <v>61.8</v>
      </c>
      <c r="F41" s="167">
        <v>2340</v>
      </c>
      <c r="G41" s="168" t="s">
        <v>187</v>
      </c>
      <c r="H41" s="169"/>
      <c r="I41" s="169"/>
      <c r="J41" s="169"/>
      <c r="K41" s="167">
        <v>49.8</v>
      </c>
      <c r="L41" s="167">
        <v>4.8499999999999996</v>
      </c>
      <c r="M41" s="167">
        <v>16.899999999999999</v>
      </c>
      <c r="N41" s="167">
        <v>14.15</v>
      </c>
      <c r="O41" s="167">
        <v>4.8899999999999997</v>
      </c>
      <c r="P41" s="167">
        <v>69.23</v>
      </c>
      <c r="Q41" s="168"/>
      <c r="R41" s="169"/>
      <c r="S41" s="169"/>
      <c r="T41" s="164"/>
      <c r="U41" s="79"/>
      <c r="V41" s="148"/>
      <c r="W41" s="121"/>
      <c r="X41" s="148"/>
      <c r="Y41" s="121"/>
      <c r="Z41" s="148"/>
      <c r="AA41" s="121"/>
      <c r="AB41" s="149"/>
      <c r="AC41" s="121"/>
      <c r="AD41" s="121"/>
      <c r="AE41" s="121"/>
    </row>
    <row r="42" spans="1:31" ht="14">
      <c r="A42" s="165" t="s">
        <v>165</v>
      </c>
      <c r="B42" s="176" t="s">
        <v>33</v>
      </c>
      <c r="C42" s="173">
        <v>0.49166666666666664</v>
      </c>
      <c r="D42" s="167">
        <v>36.799999999999997</v>
      </c>
      <c r="E42" s="167">
        <v>58.7</v>
      </c>
      <c r="F42" s="167">
        <v>7880</v>
      </c>
      <c r="G42" s="168" t="s">
        <v>183</v>
      </c>
      <c r="H42" s="169"/>
      <c r="I42" s="169"/>
      <c r="J42" s="169"/>
      <c r="K42" s="167">
        <v>32.200000000000003</v>
      </c>
      <c r="L42" s="167">
        <v>17.13</v>
      </c>
      <c r="M42" s="167">
        <v>29.32</v>
      </c>
      <c r="N42" s="167">
        <v>81.81</v>
      </c>
      <c r="O42" s="167">
        <v>22.97</v>
      </c>
      <c r="P42" s="167">
        <v>18.170000000000002</v>
      </c>
      <c r="Q42" s="168"/>
      <c r="R42" s="169"/>
      <c r="S42" s="169"/>
      <c r="T42" s="164"/>
      <c r="U42" s="79"/>
      <c r="V42" s="148"/>
      <c r="W42" s="121"/>
      <c r="X42" s="148"/>
      <c r="Y42" s="121"/>
      <c r="Z42" s="148"/>
      <c r="AA42" s="121"/>
      <c r="AB42" s="149"/>
      <c r="AC42" s="121"/>
      <c r="AD42" s="121"/>
      <c r="AE42" s="121"/>
    </row>
    <row r="43" spans="1:31" ht="14">
      <c r="A43" s="176" t="s">
        <v>188</v>
      </c>
      <c r="B43" s="176" t="s">
        <v>42</v>
      </c>
      <c r="C43" s="173">
        <v>0.92361111111111116</v>
      </c>
      <c r="D43" s="167">
        <v>25.3</v>
      </c>
      <c r="E43" s="167">
        <v>79.8</v>
      </c>
      <c r="F43" s="167">
        <v>0</v>
      </c>
      <c r="G43" s="168" t="s">
        <v>149</v>
      </c>
      <c r="H43" s="169"/>
      <c r="I43" s="169"/>
      <c r="J43" s="169"/>
      <c r="K43" s="167">
        <v>60.6</v>
      </c>
      <c r="L43" s="167">
        <v>20.28</v>
      </c>
      <c r="M43" s="167">
        <v>78.319999999999993</v>
      </c>
      <c r="N43" s="167">
        <v>48.65</v>
      </c>
      <c r="O43" s="167">
        <v>177.35</v>
      </c>
      <c r="P43" s="167">
        <v>118.68</v>
      </c>
      <c r="Q43" s="168" t="s">
        <v>189</v>
      </c>
      <c r="R43" s="169"/>
      <c r="S43" s="169"/>
      <c r="T43" s="164"/>
      <c r="U43" s="79"/>
      <c r="V43" s="148"/>
      <c r="W43" s="121"/>
      <c r="X43" s="148"/>
      <c r="Y43" s="121"/>
      <c r="Z43" s="148"/>
      <c r="AA43" s="121"/>
      <c r="AB43" s="150"/>
      <c r="AC43" s="121"/>
      <c r="AD43" s="121"/>
      <c r="AE43" s="121"/>
    </row>
    <row r="44" spans="1:31" ht="14">
      <c r="A44" s="165"/>
      <c r="B44" s="176" t="s">
        <v>33</v>
      </c>
      <c r="C44" s="173">
        <v>0.93194444444444446</v>
      </c>
      <c r="D44" s="167">
        <v>25.3</v>
      </c>
      <c r="E44" s="167">
        <v>80.400000000000006</v>
      </c>
      <c r="F44" s="167">
        <v>0</v>
      </c>
      <c r="G44" s="168" t="s">
        <v>149</v>
      </c>
      <c r="H44" s="169"/>
      <c r="I44" s="169"/>
      <c r="J44" s="169"/>
      <c r="K44" s="167">
        <v>78.900000000000006</v>
      </c>
      <c r="L44" s="167">
        <v>23.7</v>
      </c>
      <c r="M44" s="167">
        <v>91.69</v>
      </c>
      <c r="N44" s="167">
        <v>564</v>
      </c>
      <c r="O44" s="167" t="s">
        <v>155</v>
      </c>
      <c r="P44" s="167" t="s">
        <v>155</v>
      </c>
      <c r="Q44" s="168" t="s">
        <v>190</v>
      </c>
      <c r="R44" s="169"/>
      <c r="S44" s="169"/>
      <c r="T44" s="164"/>
      <c r="U44" s="11"/>
      <c r="V44" s="146"/>
      <c r="W44" s="121"/>
      <c r="X44" s="146"/>
      <c r="Y44" s="121"/>
      <c r="Z44" s="146"/>
      <c r="AA44" s="121"/>
      <c r="AB44" s="147"/>
      <c r="AC44" s="121"/>
      <c r="AD44" s="121"/>
      <c r="AE44" s="121"/>
    </row>
    <row r="45" spans="1:31" ht="14">
      <c r="A45" s="165" t="s">
        <v>165</v>
      </c>
      <c r="B45" s="176" t="s">
        <v>44</v>
      </c>
      <c r="C45" s="173">
        <v>0.93680555555555556</v>
      </c>
      <c r="D45" s="167">
        <v>25.5</v>
      </c>
      <c r="E45" s="167">
        <v>79.3</v>
      </c>
      <c r="F45" s="167">
        <v>0</v>
      </c>
      <c r="G45" s="168" t="s">
        <v>149</v>
      </c>
      <c r="H45" s="169"/>
      <c r="I45" s="169"/>
      <c r="J45" s="169"/>
      <c r="K45" s="167">
        <v>91.4</v>
      </c>
      <c r="L45" s="167">
        <v>14.27</v>
      </c>
      <c r="M45" s="167">
        <v>825</v>
      </c>
      <c r="N45" s="167">
        <v>147.85</v>
      </c>
      <c r="O45" s="167">
        <v>66.3</v>
      </c>
      <c r="P45" s="167">
        <v>145.76</v>
      </c>
      <c r="Q45" s="168"/>
      <c r="R45" s="169"/>
      <c r="S45" s="169"/>
      <c r="T45" s="164"/>
      <c r="U45" s="11"/>
      <c r="V45" s="146"/>
      <c r="W45" s="121"/>
      <c r="X45" s="146"/>
      <c r="Y45" s="121"/>
      <c r="Z45" s="146"/>
      <c r="AA45" s="121"/>
      <c r="AB45" s="147"/>
      <c r="AC45" s="121"/>
      <c r="AD45" s="121"/>
      <c r="AE45" s="121"/>
    </row>
    <row r="46" spans="1:31" ht="14">
      <c r="A46" s="165"/>
      <c r="B46" s="176" t="s">
        <v>39</v>
      </c>
      <c r="C46" s="173">
        <v>0.94374999999999998</v>
      </c>
      <c r="D46" s="167">
        <v>25.5</v>
      </c>
      <c r="E46" s="167">
        <v>79.3</v>
      </c>
      <c r="F46" s="167">
        <v>0</v>
      </c>
      <c r="G46" s="168" t="s">
        <v>149</v>
      </c>
      <c r="H46" s="169"/>
      <c r="I46" s="169"/>
      <c r="J46" s="169"/>
      <c r="K46" s="167">
        <v>91</v>
      </c>
      <c r="L46" s="167">
        <v>13.5</v>
      </c>
      <c r="M46" s="167">
        <v>98.23</v>
      </c>
      <c r="N46" s="167">
        <v>61.62</v>
      </c>
      <c r="O46" s="167">
        <v>5.74</v>
      </c>
      <c r="P46" s="167">
        <v>222</v>
      </c>
      <c r="Q46" s="178" t="s">
        <v>191</v>
      </c>
      <c r="R46" s="169"/>
      <c r="S46" s="169"/>
      <c r="T46" s="164"/>
      <c r="U46" s="79"/>
      <c r="V46" s="148"/>
      <c r="W46" s="121"/>
      <c r="X46" s="148"/>
      <c r="Y46" s="121"/>
      <c r="Z46" s="148"/>
      <c r="AA46" s="121"/>
      <c r="AB46" s="149"/>
      <c r="AC46" s="121"/>
      <c r="AD46" s="121"/>
      <c r="AE46" s="121"/>
    </row>
    <row r="47" spans="1:31" ht="14">
      <c r="A47" s="165"/>
      <c r="B47" s="176" t="s">
        <v>46</v>
      </c>
      <c r="C47" s="173">
        <v>0.94861111111111107</v>
      </c>
      <c r="D47" s="167">
        <v>25.6</v>
      </c>
      <c r="E47" s="167">
        <v>78.7</v>
      </c>
      <c r="F47" s="167">
        <v>0</v>
      </c>
      <c r="G47" s="168" t="s">
        <v>149</v>
      </c>
      <c r="H47" s="169"/>
      <c r="I47" s="169"/>
      <c r="J47" s="169"/>
      <c r="K47" s="167">
        <v>107.9</v>
      </c>
      <c r="L47" s="167">
        <v>23.48</v>
      </c>
      <c r="M47" s="167">
        <v>156.08000000000001</v>
      </c>
      <c r="N47" s="167">
        <v>7.1</v>
      </c>
      <c r="O47" s="167">
        <v>0</v>
      </c>
      <c r="P47" s="167">
        <v>459</v>
      </c>
      <c r="Q47" s="168" t="s">
        <v>192</v>
      </c>
      <c r="R47" s="169"/>
      <c r="S47" s="169"/>
      <c r="T47" s="164"/>
      <c r="U47" s="79"/>
      <c r="V47" s="148"/>
      <c r="W47" s="121"/>
      <c r="X47" s="148"/>
      <c r="Y47" s="121"/>
      <c r="Z47" s="148"/>
      <c r="AA47" s="121"/>
      <c r="AB47" s="149"/>
      <c r="AC47" s="121"/>
      <c r="AD47" s="121"/>
      <c r="AE47" s="121"/>
    </row>
    <row r="48" spans="1:31" ht="14">
      <c r="A48" s="176" t="s">
        <v>193</v>
      </c>
      <c r="B48" s="176" t="s">
        <v>46</v>
      </c>
      <c r="C48" s="166">
        <v>0.25208333333333333</v>
      </c>
      <c r="D48" s="167">
        <v>27</v>
      </c>
      <c r="E48" s="167">
        <v>76.7</v>
      </c>
      <c r="F48" s="167">
        <v>503</v>
      </c>
      <c r="G48" s="168" t="s">
        <v>152</v>
      </c>
      <c r="H48" s="169"/>
      <c r="I48" s="169"/>
      <c r="J48" s="169"/>
      <c r="K48" s="167">
        <v>107.9</v>
      </c>
      <c r="L48" s="167">
        <v>23.48</v>
      </c>
      <c r="M48" s="167">
        <v>156.08000000000001</v>
      </c>
      <c r="N48" s="167">
        <v>7.1</v>
      </c>
      <c r="O48" s="167">
        <v>0</v>
      </c>
      <c r="P48" s="167">
        <v>459</v>
      </c>
      <c r="Q48" s="168" t="s">
        <v>195</v>
      </c>
      <c r="R48" s="169"/>
      <c r="S48" s="169"/>
      <c r="T48" s="164"/>
      <c r="U48" s="79"/>
      <c r="V48" s="148"/>
      <c r="W48" s="121"/>
      <c r="X48" s="148"/>
      <c r="Y48" s="121"/>
      <c r="Z48" s="148"/>
      <c r="AA48" s="121"/>
      <c r="AB48" s="150"/>
      <c r="AC48" s="121"/>
      <c r="AD48" s="121"/>
      <c r="AE48" s="121"/>
    </row>
    <row r="49" spans="1:31" ht="14">
      <c r="A49" s="165"/>
      <c r="B49" s="176" t="s">
        <v>39</v>
      </c>
      <c r="C49" s="166">
        <v>0.25694444444444442</v>
      </c>
      <c r="D49" s="167">
        <v>27.2</v>
      </c>
      <c r="E49" s="167">
        <v>78</v>
      </c>
      <c r="F49" s="167">
        <v>1124</v>
      </c>
      <c r="G49" s="168" t="s">
        <v>196</v>
      </c>
      <c r="H49" s="169"/>
      <c r="I49" s="169"/>
      <c r="J49" s="169"/>
      <c r="K49" s="167">
        <v>9.08</v>
      </c>
      <c r="L49" s="167">
        <v>13.5</v>
      </c>
      <c r="M49" s="167">
        <v>98.23</v>
      </c>
      <c r="N49" s="167">
        <v>61.62</v>
      </c>
      <c r="O49" s="167">
        <v>5.74</v>
      </c>
      <c r="P49" s="167">
        <v>222</v>
      </c>
      <c r="Q49" s="179" t="s">
        <v>198</v>
      </c>
      <c r="R49" s="169"/>
      <c r="S49" s="169"/>
      <c r="T49" s="164"/>
      <c r="U49" s="79"/>
      <c r="V49" s="148"/>
      <c r="W49" s="121"/>
      <c r="X49" s="148"/>
      <c r="Y49" s="121"/>
      <c r="Z49" s="148"/>
      <c r="AA49" s="121"/>
      <c r="AB49" s="149"/>
      <c r="AC49" s="121"/>
      <c r="AD49" s="121"/>
      <c r="AE49" s="121"/>
    </row>
    <row r="50" spans="1:31" ht="14">
      <c r="A50" s="165"/>
      <c r="B50" s="176" t="s">
        <v>44</v>
      </c>
      <c r="C50" s="166">
        <v>0.25972222222222224</v>
      </c>
      <c r="D50" s="167">
        <v>26.8</v>
      </c>
      <c r="E50" s="167">
        <v>79.2</v>
      </c>
      <c r="F50" s="167">
        <v>3500</v>
      </c>
      <c r="G50" s="168" t="s">
        <v>187</v>
      </c>
      <c r="H50" s="169"/>
      <c r="I50" s="169"/>
      <c r="J50" s="169"/>
      <c r="K50" s="167">
        <v>91.4</v>
      </c>
      <c r="L50" s="167">
        <v>14.27</v>
      </c>
      <c r="M50" s="167">
        <v>825</v>
      </c>
      <c r="N50" s="167">
        <v>147.85</v>
      </c>
      <c r="O50" s="167">
        <v>66.3</v>
      </c>
      <c r="P50" s="167">
        <v>145.76</v>
      </c>
      <c r="Q50" s="179" t="s">
        <v>195</v>
      </c>
      <c r="R50" s="169"/>
      <c r="S50" s="169"/>
      <c r="T50" s="164"/>
      <c r="U50" s="79"/>
      <c r="V50" s="148"/>
      <c r="W50" s="121"/>
      <c r="X50" s="148"/>
      <c r="Y50" s="121"/>
      <c r="Z50" s="148"/>
      <c r="AA50" s="121"/>
      <c r="AB50" s="149"/>
      <c r="AC50" s="121"/>
      <c r="AD50" s="121"/>
      <c r="AE50" s="121"/>
    </row>
    <row r="51" spans="1:31" ht="14">
      <c r="A51" s="165"/>
      <c r="B51" s="176" t="s">
        <v>33</v>
      </c>
      <c r="C51" s="174" t="s">
        <v>199</v>
      </c>
      <c r="D51" s="167">
        <v>27.2</v>
      </c>
      <c r="E51" s="167">
        <v>74.599999999999994</v>
      </c>
      <c r="F51" s="167">
        <v>1037</v>
      </c>
      <c r="G51" s="168" t="s">
        <v>152</v>
      </c>
      <c r="H51" s="169"/>
      <c r="I51" s="169"/>
      <c r="J51" s="169"/>
      <c r="K51" s="167">
        <v>62.7</v>
      </c>
      <c r="L51" s="167">
        <v>36.78</v>
      </c>
      <c r="M51" s="167">
        <v>8.34</v>
      </c>
      <c r="N51" s="167">
        <v>13.84</v>
      </c>
      <c r="O51" s="167">
        <v>51.78</v>
      </c>
      <c r="P51" s="167">
        <v>41.88</v>
      </c>
      <c r="Q51" s="179" t="s">
        <v>200</v>
      </c>
      <c r="R51" s="169"/>
      <c r="S51" s="169"/>
      <c r="T51" s="164"/>
      <c r="U51" s="79"/>
      <c r="V51" s="148"/>
      <c r="W51" s="121"/>
      <c r="X51" s="148"/>
      <c r="Y51" s="121"/>
      <c r="Z51" s="148"/>
      <c r="AA51" s="121"/>
      <c r="AB51" s="149"/>
      <c r="AC51" s="121"/>
      <c r="AD51" s="121"/>
      <c r="AE51" s="121"/>
    </row>
    <row r="52" spans="1:31" ht="14">
      <c r="A52" s="165"/>
      <c r="B52" s="176" t="s">
        <v>42</v>
      </c>
      <c r="C52" s="166">
        <v>0.26874999999999999</v>
      </c>
      <c r="D52" s="167">
        <v>26.2</v>
      </c>
      <c r="E52" s="167">
        <v>79.7</v>
      </c>
      <c r="F52" s="167">
        <v>4800</v>
      </c>
      <c r="G52" s="168" t="s">
        <v>187</v>
      </c>
      <c r="H52" s="169"/>
      <c r="I52" s="169"/>
      <c r="J52" s="169"/>
      <c r="K52" s="167">
        <v>50.3</v>
      </c>
      <c r="L52" s="167">
        <v>15.23</v>
      </c>
      <c r="M52" s="167">
        <v>43.67</v>
      </c>
      <c r="N52" s="167">
        <v>0</v>
      </c>
      <c r="O52" s="167">
        <v>35.69</v>
      </c>
      <c r="P52" s="167">
        <v>120.29</v>
      </c>
      <c r="Q52" s="179" t="s">
        <v>201</v>
      </c>
      <c r="R52" s="169"/>
      <c r="S52" s="169"/>
      <c r="T52" s="164"/>
      <c r="U52" s="79"/>
      <c r="V52" s="148"/>
      <c r="W52" s="121"/>
      <c r="X52" s="148"/>
      <c r="Y52" s="121"/>
      <c r="Z52" s="148"/>
      <c r="AA52" s="121"/>
      <c r="AB52" s="150"/>
      <c r="AC52" s="121"/>
      <c r="AD52" s="121"/>
      <c r="AE52" s="121"/>
    </row>
    <row r="53" spans="1:31" ht="14">
      <c r="A53" s="176" t="s">
        <v>202</v>
      </c>
      <c r="B53" s="176" t="s">
        <v>39</v>
      </c>
      <c r="C53" s="166">
        <v>0.41736111111111113</v>
      </c>
      <c r="D53" s="167">
        <v>32.9</v>
      </c>
      <c r="E53" s="167">
        <v>71.099999999999994</v>
      </c>
      <c r="F53" s="167">
        <v>1764</v>
      </c>
      <c r="G53" s="168" t="s">
        <v>203</v>
      </c>
      <c r="H53" s="169"/>
      <c r="I53" s="169"/>
      <c r="J53" s="169"/>
      <c r="K53" s="167">
        <v>93.4</v>
      </c>
      <c r="L53" s="167">
        <v>18</v>
      </c>
      <c r="M53" s="167">
        <v>111.58</v>
      </c>
      <c r="N53" s="167">
        <v>5.07</v>
      </c>
      <c r="O53" s="167">
        <v>25.05</v>
      </c>
      <c r="P53" s="167">
        <v>153.07</v>
      </c>
      <c r="Q53" s="168" t="s">
        <v>204</v>
      </c>
      <c r="R53" s="169"/>
      <c r="S53" s="169"/>
      <c r="T53" s="164"/>
      <c r="U53" s="79"/>
      <c r="V53" s="148"/>
      <c r="W53" s="121"/>
      <c r="X53" s="148"/>
      <c r="Y53" s="121"/>
      <c r="Z53" s="148"/>
      <c r="AA53" s="121"/>
      <c r="AB53" s="150"/>
      <c r="AC53" s="121"/>
      <c r="AD53" s="121"/>
      <c r="AE53" s="121"/>
    </row>
    <row r="54" spans="1:31" ht="14">
      <c r="A54" s="165"/>
      <c r="B54" s="176" t="s">
        <v>46</v>
      </c>
      <c r="C54" s="166">
        <v>0.44097222222222221</v>
      </c>
      <c r="D54" s="167">
        <v>36.1</v>
      </c>
      <c r="E54" s="167">
        <v>63.7</v>
      </c>
      <c r="F54" s="167">
        <v>4090</v>
      </c>
      <c r="G54" s="168" t="s">
        <v>205</v>
      </c>
      <c r="H54" s="169"/>
      <c r="I54" s="169"/>
      <c r="J54" s="169"/>
      <c r="K54" s="167">
        <v>10.7</v>
      </c>
      <c r="L54" s="167">
        <v>20.170000000000002</v>
      </c>
      <c r="M54" s="167">
        <v>25.27</v>
      </c>
      <c r="N54" s="167">
        <v>5.93</v>
      </c>
      <c r="O54" s="167">
        <v>9.64</v>
      </c>
      <c r="P54" s="167">
        <v>54.93</v>
      </c>
      <c r="Q54" s="168" t="s">
        <v>206</v>
      </c>
      <c r="R54" s="169"/>
      <c r="S54" s="169"/>
      <c r="T54" s="164"/>
      <c r="U54" s="11"/>
      <c r="V54" s="146"/>
      <c r="W54" s="121"/>
      <c r="X54" s="148"/>
      <c r="Y54" s="121"/>
      <c r="Z54" s="148"/>
      <c r="AA54" s="121"/>
      <c r="AB54" s="149"/>
      <c r="AC54" s="121"/>
      <c r="AD54" s="121"/>
      <c r="AE54" s="121"/>
    </row>
    <row r="55" spans="1:31" ht="14">
      <c r="A55" s="165"/>
      <c r="B55" s="176" t="s">
        <v>44</v>
      </c>
      <c r="C55" s="166">
        <v>0.44722222222222224</v>
      </c>
      <c r="D55" s="167">
        <v>36.799999999999997</v>
      </c>
      <c r="E55" s="167">
        <v>62</v>
      </c>
      <c r="F55" s="167">
        <v>4550</v>
      </c>
      <c r="G55" s="168"/>
      <c r="H55" s="169"/>
      <c r="I55" s="169"/>
      <c r="J55" s="169"/>
      <c r="K55" s="167">
        <v>49.2</v>
      </c>
      <c r="L55" s="167">
        <v>15.81</v>
      </c>
      <c r="M55" s="167">
        <v>37.869999999999997</v>
      </c>
      <c r="N55" s="167">
        <v>22.17</v>
      </c>
      <c r="O55" s="167">
        <v>118.17</v>
      </c>
      <c r="P55" s="167">
        <v>58.1</v>
      </c>
      <c r="Q55" s="168"/>
      <c r="R55" s="169"/>
      <c r="S55" s="169"/>
      <c r="T55" s="164"/>
      <c r="U55" s="11"/>
      <c r="V55" s="146"/>
      <c r="W55" s="121"/>
      <c r="X55" s="148"/>
      <c r="Y55" s="121"/>
      <c r="Z55" s="148"/>
      <c r="AA55" s="121"/>
      <c r="AB55" s="149"/>
      <c r="AC55" s="121"/>
      <c r="AD55" s="121"/>
      <c r="AE55" s="121"/>
    </row>
    <row r="56" spans="1:31" ht="14">
      <c r="A56" s="165"/>
      <c r="B56" s="176" t="s">
        <v>33</v>
      </c>
      <c r="C56" s="166">
        <v>0.45347222222222222</v>
      </c>
      <c r="D56" s="167">
        <v>35.9</v>
      </c>
      <c r="E56" s="167">
        <v>59.2</v>
      </c>
      <c r="F56" s="167" t="s">
        <v>132</v>
      </c>
      <c r="G56" s="168" t="s">
        <v>207</v>
      </c>
      <c r="H56" s="169"/>
      <c r="I56" s="169"/>
      <c r="J56" s="169"/>
      <c r="K56" s="167">
        <v>34</v>
      </c>
      <c r="L56" s="167">
        <v>30.35</v>
      </c>
      <c r="M56" s="167">
        <v>25.31</v>
      </c>
      <c r="N56" s="167">
        <v>46.84</v>
      </c>
      <c r="O56" s="167">
        <v>19.89</v>
      </c>
      <c r="P56" s="180">
        <v>88.68</v>
      </c>
      <c r="Q56" s="168"/>
      <c r="R56" s="169"/>
      <c r="S56" s="169"/>
      <c r="T56" s="164"/>
      <c r="U56" s="79"/>
      <c r="V56" s="148"/>
      <c r="W56" s="121"/>
      <c r="X56" s="148"/>
      <c r="Y56" s="121"/>
      <c r="Z56" s="148"/>
      <c r="AA56" s="121"/>
      <c r="AB56" s="149"/>
      <c r="AC56" s="121"/>
      <c r="AD56" s="121"/>
      <c r="AE56" s="121"/>
    </row>
    <row r="57" spans="1:31" ht="14">
      <c r="A57" s="165"/>
      <c r="B57" s="176" t="s">
        <v>42</v>
      </c>
      <c r="C57" s="166">
        <v>0.4597222222222222</v>
      </c>
      <c r="D57" s="167">
        <v>34.799999999999997</v>
      </c>
      <c r="E57" s="167">
        <v>59.3</v>
      </c>
      <c r="F57" s="167">
        <v>6060</v>
      </c>
      <c r="G57" s="168" t="s">
        <v>207</v>
      </c>
      <c r="H57" s="169"/>
      <c r="I57" s="169"/>
      <c r="J57" s="169"/>
      <c r="K57" s="167">
        <v>21.7</v>
      </c>
      <c r="L57" s="167">
        <v>34.340000000000003</v>
      </c>
      <c r="M57" s="167">
        <v>38.29</v>
      </c>
      <c r="N57" s="167">
        <v>22.92</v>
      </c>
      <c r="O57" s="167">
        <v>263</v>
      </c>
      <c r="P57" s="180">
        <v>67.02</v>
      </c>
      <c r="Q57" s="168" t="s">
        <v>208</v>
      </c>
      <c r="R57" s="169"/>
      <c r="S57" s="169"/>
      <c r="T57" s="164"/>
      <c r="U57" s="79"/>
      <c r="V57" s="148"/>
      <c r="W57" s="121"/>
      <c r="X57" s="148"/>
      <c r="Y57" s="121"/>
      <c r="Z57" s="148"/>
      <c r="AA57" s="121"/>
      <c r="AB57" s="150"/>
      <c r="AC57" s="121"/>
      <c r="AD57" s="121"/>
      <c r="AE57" s="121"/>
    </row>
    <row r="58" spans="1:31" ht="14">
      <c r="A58" s="176" t="s">
        <v>209</v>
      </c>
      <c r="B58" s="176" t="s">
        <v>33</v>
      </c>
      <c r="C58" s="166">
        <v>0.69861111111111107</v>
      </c>
      <c r="D58" s="167">
        <v>31.8</v>
      </c>
      <c r="E58" s="167">
        <v>69.5</v>
      </c>
      <c r="F58" s="167">
        <v>2940</v>
      </c>
      <c r="G58" s="168" t="s">
        <v>207</v>
      </c>
      <c r="H58" s="169"/>
      <c r="I58" s="169"/>
      <c r="J58" s="169"/>
      <c r="K58" s="167">
        <v>78.900000000000006</v>
      </c>
      <c r="L58" s="167">
        <v>23.7</v>
      </c>
      <c r="M58" s="167">
        <v>91.69</v>
      </c>
      <c r="N58" s="167">
        <v>564</v>
      </c>
      <c r="O58" s="167" t="s">
        <v>155</v>
      </c>
      <c r="P58" s="167" t="s">
        <v>155</v>
      </c>
      <c r="Q58" s="179" t="s">
        <v>210</v>
      </c>
      <c r="R58" s="169"/>
      <c r="S58" s="169"/>
      <c r="T58" s="164"/>
      <c r="U58" s="11"/>
      <c r="V58" s="146"/>
      <c r="W58" s="121"/>
      <c r="X58" s="148"/>
      <c r="Y58" s="121"/>
      <c r="Z58" s="148"/>
      <c r="AA58" s="121"/>
      <c r="AB58" s="149"/>
      <c r="AC58" s="121"/>
      <c r="AD58" s="121"/>
      <c r="AE58" s="121"/>
    </row>
    <row r="59" spans="1:31" ht="14">
      <c r="A59" s="165"/>
      <c r="B59" s="176" t="s">
        <v>42</v>
      </c>
      <c r="C59" s="173">
        <v>0.70486111111111116</v>
      </c>
      <c r="D59" s="167">
        <v>31.5</v>
      </c>
      <c r="E59" s="167">
        <v>73.599999999999994</v>
      </c>
      <c r="F59" s="167">
        <v>3800</v>
      </c>
      <c r="G59" s="168" t="s">
        <v>207</v>
      </c>
      <c r="H59" s="169"/>
      <c r="I59" s="169"/>
      <c r="J59" s="169"/>
      <c r="K59" s="167">
        <v>89.4</v>
      </c>
      <c r="L59" s="167">
        <v>18.420000000000002</v>
      </c>
      <c r="M59" s="167">
        <v>88.25</v>
      </c>
      <c r="N59" s="167">
        <v>138.21</v>
      </c>
      <c r="O59" s="167">
        <v>34.29</v>
      </c>
      <c r="P59" s="167">
        <v>107.31</v>
      </c>
      <c r="Q59" s="168"/>
      <c r="R59" s="169"/>
      <c r="S59" s="169"/>
      <c r="T59" s="164"/>
      <c r="U59" s="79"/>
      <c r="V59" s="148"/>
      <c r="W59" s="121"/>
      <c r="X59" s="148"/>
      <c r="Y59" s="121"/>
      <c r="Z59" s="148"/>
      <c r="AA59" s="121"/>
      <c r="AB59" s="149"/>
      <c r="AC59" s="121"/>
      <c r="AD59" s="121"/>
      <c r="AE59" s="121"/>
    </row>
    <row r="60" spans="1:31" ht="14">
      <c r="A60" s="165"/>
      <c r="B60" s="176" t="s">
        <v>44</v>
      </c>
      <c r="C60" s="173">
        <v>0.70972222222222225</v>
      </c>
      <c r="D60" s="167">
        <v>31.6</v>
      </c>
      <c r="E60" s="167">
        <v>75</v>
      </c>
      <c r="F60" s="167">
        <v>405</v>
      </c>
      <c r="G60" s="168" t="s">
        <v>207</v>
      </c>
      <c r="H60" s="169"/>
      <c r="I60" s="169"/>
      <c r="J60" s="169"/>
      <c r="K60" s="167">
        <v>33.799999999999997</v>
      </c>
      <c r="L60" s="167">
        <v>27.66</v>
      </c>
      <c r="M60" s="167">
        <v>29.1</v>
      </c>
      <c r="N60" s="167">
        <v>64.86</v>
      </c>
      <c r="O60" s="167">
        <v>35.69</v>
      </c>
      <c r="P60" s="167">
        <v>47.57</v>
      </c>
      <c r="Q60" s="168"/>
      <c r="R60" s="169"/>
      <c r="S60" s="169"/>
      <c r="T60" s="164"/>
    </row>
    <row r="61" spans="1:31" ht="14">
      <c r="A61" s="165"/>
      <c r="B61" s="176" t="s">
        <v>39</v>
      </c>
      <c r="C61" s="173">
        <v>0.71458333333333335</v>
      </c>
      <c r="D61" s="167">
        <v>31.6</v>
      </c>
      <c r="E61" s="167">
        <v>75</v>
      </c>
      <c r="F61" s="167">
        <v>395</v>
      </c>
      <c r="G61" s="168" t="s">
        <v>207</v>
      </c>
      <c r="H61" s="169"/>
      <c r="I61" s="169"/>
      <c r="J61" s="169"/>
      <c r="K61" s="167">
        <v>17.350000000000001</v>
      </c>
      <c r="L61" s="167">
        <v>31.86</v>
      </c>
      <c r="M61" s="167">
        <v>36.6</v>
      </c>
      <c r="N61" s="167">
        <v>37.03</v>
      </c>
      <c r="O61" s="167">
        <v>52.03</v>
      </c>
      <c r="P61" s="167">
        <v>147.85</v>
      </c>
      <c r="Q61" s="178" t="s">
        <v>211</v>
      </c>
      <c r="R61" s="169"/>
      <c r="S61" s="169"/>
      <c r="T61" s="164"/>
    </row>
    <row r="62" spans="1:31" ht="14">
      <c r="A62" s="165"/>
      <c r="B62" s="176" t="s">
        <v>46</v>
      </c>
      <c r="C62" s="173">
        <v>0.72083333333333333</v>
      </c>
      <c r="D62" s="167">
        <v>31.8</v>
      </c>
      <c r="E62" s="167">
        <v>76.8</v>
      </c>
      <c r="F62" s="167">
        <v>1056</v>
      </c>
      <c r="G62" s="168" t="s">
        <v>187</v>
      </c>
      <c r="H62" s="169"/>
      <c r="I62" s="169"/>
      <c r="J62" s="169"/>
      <c r="K62" s="167">
        <v>96.5</v>
      </c>
      <c r="L62" s="167">
        <v>33.47</v>
      </c>
      <c r="M62" s="167">
        <v>151.58000000000001</v>
      </c>
      <c r="N62" s="167">
        <v>46</v>
      </c>
      <c r="O62" s="167" t="s">
        <v>155</v>
      </c>
      <c r="P62" s="167">
        <v>370</v>
      </c>
      <c r="Q62" s="168"/>
      <c r="R62" s="169"/>
      <c r="S62" s="169"/>
      <c r="T62" s="164"/>
    </row>
    <row r="63" spans="1:31" ht="14">
      <c r="A63" s="176" t="s">
        <v>212</v>
      </c>
      <c r="B63" s="176" t="s">
        <v>42</v>
      </c>
      <c r="C63" s="173">
        <v>0.93472222222222223</v>
      </c>
      <c r="D63" s="167">
        <v>28</v>
      </c>
      <c r="E63" s="180">
        <v>75.3</v>
      </c>
      <c r="F63" s="167">
        <v>0</v>
      </c>
      <c r="G63" s="168" t="s">
        <v>149</v>
      </c>
      <c r="H63" s="169"/>
      <c r="I63" s="169"/>
      <c r="J63" s="169"/>
      <c r="K63" s="167">
        <v>95</v>
      </c>
      <c r="L63" s="167">
        <v>19.71</v>
      </c>
      <c r="M63" s="167">
        <v>358</v>
      </c>
      <c r="N63" s="167">
        <v>0</v>
      </c>
      <c r="O63" s="167">
        <v>0</v>
      </c>
      <c r="P63" s="167">
        <v>134.85</v>
      </c>
      <c r="Q63" s="168"/>
      <c r="R63" s="169"/>
      <c r="S63" s="169"/>
      <c r="T63" s="164"/>
    </row>
    <row r="64" spans="1:31" ht="14">
      <c r="A64" s="165"/>
      <c r="B64" s="176" t="s">
        <v>33</v>
      </c>
      <c r="C64" s="173">
        <v>0.94305555555555554</v>
      </c>
      <c r="D64" s="167">
        <v>27.5</v>
      </c>
      <c r="E64" s="180">
        <v>76.7</v>
      </c>
      <c r="F64" s="167">
        <v>0</v>
      </c>
      <c r="G64" s="168" t="s">
        <v>149</v>
      </c>
      <c r="H64" s="169"/>
      <c r="I64" s="169"/>
      <c r="J64" s="169"/>
      <c r="K64" s="167">
        <v>67.5</v>
      </c>
      <c r="L64" s="167">
        <v>23.6</v>
      </c>
      <c r="M64" s="167">
        <v>90.52</v>
      </c>
      <c r="N64" s="167">
        <v>564</v>
      </c>
      <c r="O64" s="167" t="s">
        <v>155</v>
      </c>
      <c r="P64" s="167" t="s">
        <v>155</v>
      </c>
      <c r="Q64" s="179" t="s">
        <v>213</v>
      </c>
      <c r="R64" s="169"/>
      <c r="S64" s="169"/>
      <c r="T64" s="164"/>
    </row>
    <row r="65" spans="1:26" ht="14">
      <c r="A65" s="165" t="s">
        <v>165</v>
      </c>
      <c r="B65" s="176" t="s">
        <v>39</v>
      </c>
      <c r="C65" s="166">
        <v>0.95</v>
      </c>
      <c r="D65" s="167">
        <v>27</v>
      </c>
      <c r="E65" s="180">
        <v>79.099999999999994</v>
      </c>
      <c r="F65" s="167">
        <v>0</v>
      </c>
      <c r="G65" s="168" t="s">
        <v>149</v>
      </c>
      <c r="H65" s="169"/>
      <c r="I65" s="169"/>
      <c r="J65" s="169"/>
      <c r="K65" s="167">
        <v>173.5</v>
      </c>
      <c r="L65" s="167">
        <v>31.86</v>
      </c>
      <c r="M65" s="167">
        <v>366</v>
      </c>
      <c r="N65" s="167">
        <v>37.03</v>
      </c>
      <c r="O65" s="167">
        <v>52.03</v>
      </c>
      <c r="P65" s="167">
        <v>147.85</v>
      </c>
      <c r="Q65" s="179" t="s">
        <v>195</v>
      </c>
      <c r="R65" s="169"/>
      <c r="S65" s="169"/>
      <c r="T65" s="164"/>
      <c r="U65" s="148"/>
      <c r="V65" s="121"/>
      <c r="W65" s="150"/>
      <c r="X65" s="121"/>
      <c r="Y65" s="121"/>
      <c r="Z65" s="121"/>
    </row>
    <row r="66" spans="1:26" ht="14">
      <c r="A66" s="165"/>
      <c r="B66" s="176" t="s">
        <v>46</v>
      </c>
      <c r="C66" s="166">
        <v>0.9506944444444444</v>
      </c>
      <c r="D66" s="167">
        <v>27.5</v>
      </c>
      <c r="E66" s="180">
        <v>78.2</v>
      </c>
      <c r="F66" s="167">
        <v>0</v>
      </c>
      <c r="G66" s="168" t="s">
        <v>149</v>
      </c>
      <c r="H66" s="169"/>
      <c r="I66" s="169"/>
      <c r="J66" s="169"/>
      <c r="K66" s="167" t="s">
        <v>214</v>
      </c>
      <c r="L66" s="167">
        <v>18.53</v>
      </c>
      <c r="M66" s="167">
        <v>76.7</v>
      </c>
      <c r="N66" s="167">
        <v>370</v>
      </c>
      <c r="O66" s="167">
        <v>224</v>
      </c>
      <c r="P66" s="167">
        <v>220</v>
      </c>
      <c r="Q66" s="168"/>
      <c r="R66" s="169"/>
      <c r="S66" s="169"/>
      <c r="T66" s="164"/>
      <c r="U66" s="119"/>
      <c r="V66" s="121"/>
      <c r="W66" s="149"/>
      <c r="X66" s="121"/>
      <c r="Y66" s="121"/>
      <c r="Z66" s="121"/>
    </row>
    <row r="67" spans="1:26" ht="14">
      <c r="A67" s="165"/>
      <c r="B67" s="176" t="s">
        <v>44</v>
      </c>
      <c r="C67" s="166">
        <v>0.96458333333333335</v>
      </c>
      <c r="D67" s="167" t="s">
        <v>132</v>
      </c>
      <c r="E67" s="167" t="s">
        <v>132</v>
      </c>
      <c r="F67" s="167" t="s">
        <v>132</v>
      </c>
      <c r="G67" s="168" t="s">
        <v>132</v>
      </c>
      <c r="H67" s="169"/>
      <c r="I67" s="169"/>
      <c r="J67" s="169"/>
      <c r="K67" s="167" t="s">
        <v>132</v>
      </c>
      <c r="L67" s="167" t="s">
        <v>132</v>
      </c>
      <c r="M67" s="167" t="s">
        <v>132</v>
      </c>
      <c r="N67" s="167" t="s">
        <v>132</v>
      </c>
      <c r="O67" s="167" t="s">
        <v>132</v>
      </c>
      <c r="P67" s="167" t="s">
        <v>132</v>
      </c>
      <c r="Q67" s="171" t="s">
        <v>133</v>
      </c>
      <c r="R67" s="169"/>
      <c r="S67" s="169"/>
      <c r="T67" s="164"/>
      <c r="U67" s="119"/>
      <c r="V67" s="121"/>
      <c r="W67" s="149"/>
      <c r="X67" s="121"/>
      <c r="Y67" s="121"/>
      <c r="Z67" s="121"/>
    </row>
    <row r="68" spans="1:26" ht="14">
      <c r="A68" s="176" t="s">
        <v>88</v>
      </c>
      <c r="B68" s="176" t="s">
        <v>42</v>
      </c>
      <c r="C68" s="166">
        <v>0.45416666666666666</v>
      </c>
      <c r="D68" s="167">
        <v>30.1</v>
      </c>
      <c r="E68" s="167">
        <v>76.7</v>
      </c>
      <c r="F68" s="167" t="s">
        <v>132</v>
      </c>
      <c r="G68" s="168" t="s">
        <v>215</v>
      </c>
      <c r="H68" s="169"/>
      <c r="I68" s="169"/>
      <c r="J68" s="169"/>
      <c r="K68" s="167">
        <v>67.599999999999994</v>
      </c>
      <c r="L68" s="167">
        <v>7.07</v>
      </c>
      <c r="M68" s="167" t="s">
        <v>155</v>
      </c>
      <c r="N68" s="167">
        <v>19.55</v>
      </c>
      <c r="O68" s="167">
        <v>81.59</v>
      </c>
      <c r="P68" s="167">
        <v>266</v>
      </c>
      <c r="Q68" s="168"/>
      <c r="R68" s="169"/>
      <c r="S68" s="169"/>
      <c r="T68" s="164"/>
      <c r="U68" s="119"/>
      <c r="V68" s="121"/>
      <c r="W68" s="150"/>
      <c r="X68" s="121"/>
      <c r="Y68" s="121"/>
      <c r="Z68" s="121"/>
    </row>
    <row r="69" spans="1:26" ht="14">
      <c r="A69" s="177"/>
      <c r="B69" s="181" t="s">
        <v>33</v>
      </c>
      <c r="C69" s="166">
        <v>0.46527777777777779</v>
      </c>
      <c r="D69" s="174">
        <v>34.5</v>
      </c>
      <c r="E69" s="174">
        <v>63.4</v>
      </c>
      <c r="F69" s="174" t="s">
        <v>216</v>
      </c>
      <c r="G69" s="168" t="s">
        <v>217</v>
      </c>
      <c r="H69" s="169"/>
      <c r="I69" s="169"/>
      <c r="J69" s="164"/>
      <c r="K69" s="174">
        <v>21.7</v>
      </c>
      <c r="L69" s="174">
        <v>29.1</v>
      </c>
      <c r="M69" s="174">
        <v>17.309999999999999</v>
      </c>
      <c r="N69" s="174">
        <v>14.07</v>
      </c>
      <c r="O69" s="174">
        <v>25.66</v>
      </c>
      <c r="P69" s="174">
        <v>50.03</v>
      </c>
      <c r="Q69" s="168" t="s">
        <v>218</v>
      </c>
      <c r="R69" s="169"/>
      <c r="S69" s="169"/>
      <c r="T69" s="164"/>
      <c r="U69" s="119"/>
      <c r="V69" s="121"/>
      <c r="W69" s="149"/>
      <c r="X69" s="121"/>
      <c r="Y69" s="121"/>
      <c r="Z69" s="121"/>
    </row>
    <row r="70" spans="1:26" ht="14">
      <c r="A70" s="177"/>
      <c r="B70" s="181" t="s">
        <v>39</v>
      </c>
      <c r="C70" s="166">
        <v>0.47152777777777777</v>
      </c>
      <c r="D70" s="174" t="s">
        <v>132</v>
      </c>
      <c r="E70" s="174" t="s">
        <v>132</v>
      </c>
      <c r="F70" s="174" t="s">
        <v>132</v>
      </c>
      <c r="G70" s="168" t="s">
        <v>132</v>
      </c>
      <c r="H70" s="169"/>
      <c r="I70" s="169"/>
      <c r="J70" s="169"/>
      <c r="K70" s="174" t="s">
        <v>132</v>
      </c>
      <c r="L70" s="174" t="s">
        <v>132</v>
      </c>
      <c r="M70" s="174" t="s">
        <v>132</v>
      </c>
      <c r="N70" s="174" t="s">
        <v>132</v>
      </c>
      <c r="O70" s="174" t="s">
        <v>132</v>
      </c>
      <c r="P70" s="174" t="s">
        <v>132</v>
      </c>
      <c r="Q70" s="178" t="s">
        <v>219</v>
      </c>
      <c r="R70" s="169"/>
      <c r="S70" s="169"/>
      <c r="T70" s="164"/>
      <c r="U70" s="119"/>
      <c r="V70" s="121"/>
      <c r="W70" s="149"/>
      <c r="X70" s="121"/>
      <c r="Y70" s="121"/>
      <c r="Z70" s="121"/>
    </row>
    <row r="71" spans="1:26" ht="14">
      <c r="A71" s="177"/>
      <c r="B71" s="181" t="s">
        <v>46</v>
      </c>
      <c r="C71" s="166">
        <v>0.48055555555555557</v>
      </c>
      <c r="D71" s="174" t="s">
        <v>132</v>
      </c>
      <c r="E71" s="174" t="s">
        <v>132</v>
      </c>
      <c r="F71" s="174" t="s">
        <v>132</v>
      </c>
      <c r="G71" s="168" t="s">
        <v>132</v>
      </c>
      <c r="H71" s="169"/>
      <c r="I71" s="169"/>
      <c r="J71" s="169"/>
      <c r="K71" s="174" t="s">
        <v>132</v>
      </c>
      <c r="L71" s="174" t="s">
        <v>132</v>
      </c>
      <c r="M71" s="174" t="s">
        <v>132</v>
      </c>
      <c r="N71" s="174" t="s">
        <v>132</v>
      </c>
      <c r="O71" s="174" t="s">
        <v>132</v>
      </c>
      <c r="P71" s="174" t="s">
        <v>132</v>
      </c>
      <c r="Q71" s="178" t="s">
        <v>219</v>
      </c>
      <c r="R71" s="169"/>
      <c r="S71" s="169"/>
      <c r="T71" s="164"/>
      <c r="U71" s="119"/>
      <c r="V71" s="121"/>
      <c r="W71" s="149"/>
      <c r="X71" s="121"/>
      <c r="Y71" s="121"/>
      <c r="Z71" s="121"/>
    </row>
    <row r="72" spans="1:26" ht="14">
      <c r="A72" s="176" t="s">
        <v>89</v>
      </c>
      <c r="B72" s="181" t="s">
        <v>42</v>
      </c>
      <c r="C72" s="166">
        <v>0.68263888888888891</v>
      </c>
      <c r="D72" s="174">
        <v>30</v>
      </c>
      <c r="E72" s="174">
        <v>72.400000000000006</v>
      </c>
      <c r="F72" s="174">
        <v>3370</v>
      </c>
      <c r="G72" s="168" t="s">
        <v>220</v>
      </c>
      <c r="H72" s="169"/>
      <c r="I72" s="169"/>
      <c r="J72" s="169"/>
      <c r="K72" s="174">
        <v>73.599999999999994</v>
      </c>
      <c r="L72" s="174">
        <v>10.43</v>
      </c>
      <c r="M72" s="174">
        <v>165</v>
      </c>
      <c r="N72" s="174">
        <v>42.19</v>
      </c>
      <c r="O72" s="174" t="s">
        <v>155</v>
      </c>
      <c r="P72" s="174">
        <v>167</v>
      </c>
      <c r="Q72" s="168"/>
      <c r="R72" s="169"/>
      <c r="S72" s="169"/>
      <c r="T72" s="164"/>
      <c r="U72" s="119"/>
      <c r="V72" s="121"/>
      <c r="W72" s="149"/>
      <c r="X72" s="121"/>
      <c r="Y72" s="121"/>
      <c r="Z72" s="121"/>
    </row>
    <row r="73" spans="1:26" ht="14">
      <c r="A73" s="177"/>
      <c r="B73" s="181" t="s">
        <v>33</v>
      </c>
      <c r="C73" s="166">
        <v>0.68958333333333333</v>
      </c>
      <c r="D73" s="174">
        <v>29.9</v>
      </c>
      <c r="E73" s="174">
        <v>71.900000000000006</v>
      </c>
      <c r="F73" s="174">
        <v>1652</v>
      </c>
      <c r="G73" s="168" t="s">
        <v>152</v>
      </c>
      <c r="H73" s="169"/>
      <c r="I73" s="169"/>
      <c r="J73" s="169"/>
      <c r="K73" s="174">
        <v>52.7</v>
      </c>
      <c r="L73" s="174">
        <v>49.61</v>
      </c>
      <c r="M73" s="174">
        <v>28.45</v>
      </c>
      <c r="N73" s="174">
        <v>31.26</v>
      </c>
      <c r="O73" s="174">
        <v>39.729999999999997</v>
      </c>
      <c r="P73" s="174">
        <v>238.6</v>
      </c>
      <c r="Q73" s="168"/>
      <c r="R73" s="169"/>
      <c r="S73" s="169"/>
      <c r="T73" s="164"/>
      <c r="U73" s="119"/>
      <c r="V73" s="121"/>
      <c r="W73" s="149"/>
      <c r="X73" s="121"/>
      <c r="Y73" s="121"/>
      <c r="Z73" s="121"/>
    </row>
    <row r="74" spans="1:26" ht="14">
      <c r="A74" s="177"/>
      <c r="B74" s="181" t="s">
        <v>39</v>
      </c>
      <c r="C74" s="166">
        <v>0.69861111111111107</v>
      </c>
      <c r="D74" s="174" t="s">
        <v>132</v>
      </c>
      <c r="E74" s="174" t="s">
        <v>132</v>
      </c>
      <c r="F74" s="174" t="s">
        <v>132</v>
      </c>
      <c r="G74" s="168" t="s">
        <v>152</v>
      </c>
      <c r="H74" s="169"/>
      <c r="I74" s="169"/>
      <c r="J74" s="169"/>
      <c r="K74" s="174">
        <v>120.4</v>
      </c>
      <c r="L74" s="174">
        <v>13.64</v>
      </c>
      <c r="M74" s="174">
        <v>257</v>
      </c>
      <c r="N74" s="174">
        <v>55.62</v>
      </c>
      <c r="O74" s="174">
        <v>115.15</v>
      </c>
      <c r="P74" s="174">
        <v>180</v>
      </c>
      <c r="Q74" s="178" t="s">
        <v>211</v>
      </c>
      <c r="R74" s="169"/>
      <c r="S74" s="169"/>
      <c r="T74" s="164"/>
      <c r="U74" s="119"/>
      <c r="V74" s="121"/>
      <c r="W74" s="149"/>
      <c r="X74" s="121"/>
      <c r="Y74" s="121"/>
      <c r="Z74" s="121"/>
    </row>
    <row r="75" spans="1:26" ht="14">
      <c r="A75" s="182"/>
      <c r="B75" s="181" t="s">
        <v>48</v>
      </c>
      <c r="C75" s="166">
        <v>0.70416666666666672</v>
      </c>
      <c r="D75" s="174">
        <v>29.9</v>
      </c>
      <c r="E75" s="174">
        <v>69.599999999999994</v>
      </c>
      <c r="F75" s="174">
        <v>2240</v>
      </c>
      <c r="G75" s="168" t="s">
        <v>152</v>
      </c>
      <c r="H75" s="169"/>
      <c r="I75" s="169"/>
      <c r="J75" s="169"/>
      <c r="K75" s="174">
        <v>74.8</v>
      </c>
      <c r="L75" s="174">
        <v>16.510000000000002</v>
      </c>
      <c r="M75" s="174">
        <v>42.37</v>
      </c>
      <c r="N75" s="174">
        <v>104.56</v>
      </c>
      <c r="O75" s="174">
        <v>15.44</v>
      </c>
      <c r="P75" s="174">
        <v>24.67</v>
      </c>
      <c r="Q75" s="171" t="s">
        <v>221</v>
      </c>
      <c r="R75" s="169"/>
      <c r="S75" s="169"/>
      <c r="T75" s="164"/>
      <c r="U75" s="119"/>
      <c r="V75" s="121"/>
      <c r="W75" s="149"/>
      <c r="X75" s="121"/>
      <c r="Y75" s="121"/>
      <c r="Z75" s="121"/>
    </row>
    <row r="76" spans="1:26" ht="14">
      <c r="A76" s="176" t="s">
        <v>222</v>
      </c>
      <c r="B76" s="181" t="s">
        <v>42</v>
      </c>
      <c r="C76" s="166">
        <v>0.96388888888888891</v>
      </c>
      <c r="D76" s="174">
        <v>24.2</v>
      </c>
      <c r="E76" s="174">
        <v>80</v>
      </c>
      <c r="F76" s="174">
        <v>0</v>
      </c>
      <c r="G76" s="168" t="s">
        <v>149</v>
      </c>
      <c r="H76" s="169"/>
      <c r="I76" s="169"/>
      <c r="J76" s="169"/>
      <c r="K76" s="174">
        <v>63.3</v>
      </c>
      <c r="L76" s="174">
        <v>9.6</v>
      </c>
      <c r="M76" s="174">
        <v>67.099999999999994</v>
      </c>
      <c r="N76" s="174">
        <v>9.1</v>
      </c>
      <c r="O76" s="174">
        <v>98.32</v>
      </c>
      <c r="P76" s="174">
        <v>61.72</v>
      </c>
      <c r="Q76" s="168"/>
      <c r="R76" s="169"/>
      <c r="S76" s="169"/>
      <c r="T76" s="164"/>
      <c r="U76" s="119"/>
      <c r="V76" s="121"/>
      <c r="W76" s="154"/>
      <c r="X76" s="121"/>
      <c r="Y76" s="121"/>
      <c r="Z76" s="121"/>
    </row>
    <row r="77" spans="1:26" ht="14">
      <c r="A77" s="182"/>
      <c r="B77" s="181" t="s">
        <v>33</v>
      </c>
      <c r="C77" s="166">
        <v>0.96875</v>
      </c>
      <c r="D77" s="174">
        <v>24.4</v>
      </c>
      <c r="E77" s="174">
        <v>81.3</v>
      </c>
      <c r="F77" s="174">
        <v>0</v>
      </c>
      <c r="G77" s="168" t="s">
        <v>149</v>
      </c>
      <c r="H77" s="169"/>
      <c r="I77" s="169"/>
      <c r="J77" s="169"/>
      <c r="K77" s="174">
        <v>98.6</v>
      </c>
      <c r="L77" s="174">
        <v>14.95</v>
      </c>
      <c r="M77" s="174">
        <v>51.4</v>
      </c>
      <c r="N77" s="174" t="s">
        <v>155</v>
      </c>
      <c r="O77" s="174">
        <v>73.400000000000006</v>
      </c>
      <c r="P77" s="174">
        <v>101.56</v>
      </c>
      <c r="Q77" s="168"/>
      <c r="R77" s="169"/>
      <c r="S77" s="169"/>
      <c r="T77" s="164"/>
      <c r="U77" s="119"/>
      <c r="V77" s="121"/>
      <c r="W77" s="154"/>
      <c r="X77" s="121"/>
      <c r="Y77" s="121"/>
      <c r="Z77" s="121"/>
    </row>
    <row r="78" spans="1:26" ht="14">
      <c r="A78" s="182"/>
      <c r="B78" s="181" t="s">
        <v>39</v>
      </c>
      <c r="C78" s="166">
        <v>0.9819444444444444</v>
      </c>
      <c r="D78" s="174">
        <v>25.5</v>
      </c>
      <c r="E78" s="174">
        <v>78.599999999999994</v>
      </c>
      <c r="F78" s="174">
        <v>0</v>
      </c>
      <c r="G78" s="168" t="s">
        <v>149</v>
      </c>
      <c r="H78" s="169"/>
      <c r="I78" s="169"/>
      <c r="J78" s="169"/>
      <c r="K78" s="174">
        <v>120.4</v>
      </c>
      <c r="L78" s="174">
        <v>13.64</v>
      </c>
      <c r="M78" s="174">
        <v>275</v>
      </c>
      <c r="N78" s="174">
        <v>55.62</v>
      </c>
      <c r="O78" s="174">
        <v>115.15</v>
      </c>
      <c r="P78" s="174">
        <v>180</v>
      </c>
      <c r="Q78" s="179" t="s">
        <v>195</v>
      </c>
      <c r="R78" s="169"/>
      <c r="S78" s="169"/>
      <c r="T78" s="164"/>
      <c r="U78" s="119"/>
      <c r="V78" s="121"/>
      <c r="W78" s="154"/>
      <c r="X78" s="121"/>
      <c r="Y78" s="121"/>
      <c r="Z78" s="121"/>
    </row>
    <row r="79" spans="1:26" ht="15.5">
      <c r="D79" s="34"/>
      <c r="E79" s="34"/>
      <c r="F79" s="34"/>
      <c r="G79" s="34"/>
      <c r="H79" s="34"/>
      <c r="I79" s="69"/>
      <c r="J79" s="69"/>
      <c r="K79" s="69"/>
      <c r="L79" s="69"/>
      <c r="M79" s="78"/>
      <c r="N79" s="78"/>
      <c r="U79" s="119"/>
      <c r="V79" s="121"/>
      <c r="W79" s="154"/>
      <c r="X79" s="121"/>
      <c r="Y79" s="121"/>
      <c r="Z79" s="121"/>
    </row>
    <row r="80" spans="1:26" ht="15.5">
      <c r="D80" s="34"/>
      <c r="E80" s="34"/>
      <c r="F80" s="34"/>
      <c r="G80" s="34"/>
      <c r="H80" s="34"/>
      <c r="I80" s="69"/>
      <c r="J80" s="69"/>
      <c r="K80" s="69"/>
      <c r="L80" s="69"/>
      <c r="M80" s="78"/>
      <c r="N80" s="78"/>
      <c r="U80" s="119"/>
      <c r="V80" s="121"/>
      <c r="W80" s="154"/>
      <c r="X80" s="121"/>
      <c r="Y80" s="121"/>
      <c r="Z80" s="121"/>
    </row>
    <row r="81" spans="4:26" ht="15.5">
      <c r="D81" s="34"/>
      <c r="E81" s="34"/>
      <c r="F81" s="34"/>
      <c r="G81" s="34"/>
      <c r="H81" s="34"/>
      <c r="I81" s="69"/>
      <c r="J81" s="69"/>
      <c r="K81" s="69"/>
      <c r="L81" s="69"/>
      <c r="M81" s="78"/>
      <c r="N81" s="78"/>
      <c r="U81" s="119"/>
      <c r="V81" s="121"/>
      <c r="W81" s="154"/>
      <c r="X81" s="121"/>
      <c r="Y81" s="121"/>
      <c r="Z81" s="121"/>
    </row>
    <row r="82" spans="4:26" ht="15.5">
      <c r="D82" s="34"/>
      <c r="E82" s="34"/>
      <c r="F82" s="34"/>
      <c r="G82" s="34"/>
      <c r="H82" s="34"/>
      <c r="I82" s="69"/>
      <c r="J82" s="69"/>
      <c r="K82" s="69"/>
      <c r="L82" s="69"/>
      <c r="M82" s="78"/>
      <c r="N82" s="78"/>
      <c r="U82" s="119"/>
      <c r="V82" s="121"/>
      <c r="W82" s="154"/>
      <c r="X82" s="121"/>
      <c r="Y82" s="121"/>
      <c r="Z82" s="121"/>
    </row>
    <row r="83" spans="4:26" ht="15.5">
      <c r="D83" s="34"/>
      <c r="E83" s="34"/>
      <c r="F83" s="34"/>
      <c r="G83" s="34"/>
      <c r="H83" s="34"/>
      <c r="I83" s="69"/>
      <c r="J83" s="69"/>
      <c r="K83" s="69"/>
      <c r="L83" s="69"/>
      <c r="M83" s="78"/>
      <c r="N83" s="78"/>
      <c r="U83" s="119"/>
      <c r="V83" s="121"/>
      <c r="W83" s="147"/>
      <c r="X83" s="121"/>
      <c r="Y83" s="121"/>
      <c r="Z83" s="121"/>
    </row>
    <row r="84" spans="4:26" ht="15.5">
      <c r="D84" s="34"/>
      <c r="E84" s="34"/>
      <c r="F84" s="34"/>
      <c r="G84" s="34"/>
      <c r="H84" s="34"/>
      <c r="I84" s="69"/>
      <c r="J84" s="69"/>
      <c r="K84" s="69"/>
      <c r="L84" s="69"/>
      <c r="M84" s="78"/>
      <c r="N84" s="78"/>
      <c r="U84" s="119"/>
      <c r="V84" s="121"/>
      <c r="W84" s="147"/>
      <c r="X84" s="121"/>
      <c r="Y84" s="121"/>
      <c r="Z84" s="121"/>
    </row>
    <row r="85" spans="4:26" ht="15.5">
      <c r="D85" s="34"/>
      <c r="E85" s="34"/>
      <c r="F85" s="34"/>
      <c r="G85" s="34"/>
      <c r="H85" s="34"/>
      <c r="I85" s="69"/>
      <c r="J85" s="69"/>
      <c r="K85" s="69"/>
      <c r="L85" s="69"/>
      <c r="M85" s="78"/>
      <c r="N85" s="78"/>
      <c r="U85" s="119"/>
      <c r="V85" s="121"/>
      <c r="W85" s="147"/>
      <c r="X85" s="121"/>
      <c r="Y85" s="121"/>
      <c r="Z85" s="121"/>
    </row>
    <row r="86" spans="4:26" ht="15.5">
      <c r="D86" s="34"/>
      <c r="E86" s="34"/>
      <c r="F86" s="34"/>
      <c r="G86" s="34"/>
      <c r="H86" s="34"/>
      <c r="I86" s="69"/>
      <c r="J86" s="69"/>
      <c r="K86" s="69"/>
      <c r="L86" s="69"/>
      <c r="M86" s="78"/>
      <c r="N86" s="78"/>
      <c r="U86" s="119"/>
      <c r="V86" s="121"/>
      <c r="W86" s="147"/>
      <c r="X86" s="121"/>
      <c r="Y86" s="121"/>
      <c r="Z86" s="121"/>
    </row>
    <row r="87" spans="4:26" ht="15.5">
      <c r="D87" s="34"/>
      <c r="E87" s="34"/>
      <c r="F87" s="34"/>
      <c r="G87" s="34"/>
      <c r="H87" s="34"/>
      <c r="I87" s="69"/>
      <c r="J87" s="69"/>
      <c r="K87" s="69"/>
      <c r="L87" s="69"/>
      <c r="M87" s="78"/>
      <c r="N87" s="78"/>
      <c r="U87" s="119"/>
      <c r="V87" s="121"/>
      <c r="W87" s="147"/>
      <c r="X87" s="121"/>
      <c r="Y87" s="121"/>
      <c r="Z87" s="121"/>
    </row>
    <row r="88" spans="4:26" ht="15.5">
      <c r="D88" s="34"/>
      <c r="E88" s="34"/>
      <c r="F88" s="34"/>
      <c r="G88" s="34"/>
      <c r="H88" s="34"/>
      <c r="I88" s="69"/>
      <c r="J88" s="69"/>
      <c r="K88" s="69"/>
      <c r="L88" s="69"/>
      <c r="M88" s="78"/>
      <c r="N88" s="78"/>
      <c r="U88" s="119"/>
      <c r="V88" s="121"/>
      <c r="W88" s="147"/>
      <c r="X88" s="121"/>
      <c r="Y88" s="121"/>
      <c r="Z88" s="121"/>
    </row>
    <row r="89" spans="4:26" ht="15.5">
      <c r="D89" s="34"/>
      <c r="E89" s="34"/>
      <c r="F89" s="34"/>
      <c r="G89" s="34"/>
      <c r="H89" s="34"/>
      <c r="I89" s="69"/>
      <c r="J89" s="69"/>
      <c r="K89" s="69"/>
      <c r="L89" s="69"/>
      <c r="M89" s="78"/>
      <c r="N89" s="78"/>
      <c r="U89" s="119"/>
      <c r="V89" s="121"/>
      <c r="W89" s="147"/>
      <c r="X89" s="121"/>
      <c r="Y89" s="121"/>
      <c r="Z89" s="121"/>
    </row>
    <row r="90" spans="4:26" ht="15.5">
      <c r="D90" s="34"/>
      <c r="E90" s="34"/>
      <c r="F90" s="34"/>
      <c r="G90" s="34"/>
      <c r="H90" s="34"/>
      <c r="I90" s="69"/>
      <c r="J90" s="69"/>
      <c r="K90" s="69"/>
      <c r="L90" s="69"/>
      <c r="M90" s="78"/>
      <c r="N90" s="78"/>
      <c r="U90" s="119"/>
      <c r="V90" s="121"/>
      <c r="W90" s="147"/>
      <c r="X90" s="121"/>
      <c r="Y90" s="121"/>
      <c r="Z90" s="121"/>
    </row>
    <row r="91" spans="4:26" ht="15.5">
      <c r="D91" s="34"/>
      <c r="E91" s="34"/>
      <c r="F91" s="34"/>
      <c r="G91" s="34"/>
      <c r="H91" s="34"/>
      <c r="I91" s="69"/>
      <c r="J91" s="69"/>
      <c r="K91" s="69"/>
      <c r="L91" s="69"/>
      <c r="M91" s="78"/>
      <c r="N91" s="78"/>
      <c r="U91" s="119"/>
      <c r="V91" s="121"/>
      <c r="W91" s="147"/>
      <c r="X91" s="121"/>
      <c r="Y91" s="121"/>
      <c r="Z91" s="121"/>
    </row>
    <row r="92" spans="4:26" ht="15.5">
      <c r="D92" s="34"/>
      <c r="E92" s="34"/>
      <c r="F92" s="34"/>
      <c r="G92" s="34"/>
      <c r="H92" s="34"/>
      <c r="I92" s="69"/>
      <c r="J92" s="69"/>
      <c r="K92" s="69"/>
      <c r="L92" s="69"/>
      <c r="M92" s="78"/>
      <c r="N92" s="78"/>
      <c r="U92" s="119"/>
      <c r="V92" s="121"/>
      <c r="W92" s="147"/>
      <c r="X92" s="121"/>
      <c r="Y92" s="121"/>
      <c r="Z92" s="121"/>
    </row>
    <row r="93" spans="4:26" ht="15.5">
      <c r="D93" s="34"/>
      <c r="E93" s="34"/>
      <c r="F93" s="34"/>
      <c r="G93" s="34"/>
      <c r="H93" s="34"/>
      <c r="I93" s="69"/>
      <c r="J93" s="69"/>
      <c r="K93" s="69"/>
      <c r="L93" s="69"/>
      <c r="M93" s="78"/>
      <c r="N93" s="78"/>
      <c r="U93" s="119"/>
      <c r="V93" s="121"/>
      <c r="W93" s="147"/>
      <c r="X93" s="121"/>
      <c r="Y93" s="121"/>
      <c r="Z93" s="121"/>
    </row>
    <row r="94" spans="4:26" ht="15.5">
      <c r="D94" s="34"/>
      <c r="E94" s="34"/>
      <c r="F94" s="34"/>
      <c r="G94" s="34"/>
      <c r="H94" s="34"/>
      <c r="I94" s="69"/>
      <c r="J94" s="69"/>
      <c r="K94" s="69"/>
      <c r="L94" s="69"/>
      <c r="M94" s="78"/>
      <c r="N94" s="78"/>
      <c r="U94" s="119"/>
      <c r="V94" s="121"/>
      <c r="W94" s="147"/>
      <c r="X94" s="121"/>
      <c r="Y94" s="121"/>
      <c r="Z94" s="121"/>
    </row>
    <row r="95" spans="4:26" ht="15.5">
      <c r="D95" s="34"/>
      <c r="E95" s="34"/>
      <c r="F95" s="34"/>
      <c r="G95" s="34"/>
      <c r="H95" s="34"/>
      <c r="I95" s="69"/>
      <c r="J95" s="69"/>
      <c r="K95" s="69"/>
      <c r="L95" s="69"/>
      <c r="M95" s="78"/>
      <c r="N95" s="78"/>
      <c r="U95" s="119"/>
      <c r="V95" s="121"/>
      <c r="W95" s="147"/>
      <c r="X95" s="121"/>
      <c r="Y95" s="121"/>
      <c r="Z95" s="121"/>
    </row>
    <row r="96" spans="4:26" ht="15.5">
      <c r="D96" s="34"/>
      <c r="E96" s="34"/>
      <c r="F96" s="34"/>
      <c r="G96" s="34"/>
      <c r="H96" s="34"/>
      <c r="I96" s="69"/>
      <c r="J96" s="69"/>
      <c r="K96" s="69"/>
      <c r="L96" s="69"/>
      <c r="M96" s="78"/>
      <c r="N96" s="78"/>
      <c r="U96" s="119"/>
      <c r="V96" s="121"/>
      <c r="W96" s="147"/>
      <c r="X96" s="121"/>
      <c r="Y96" s="121"/>
      <c r="Z96" s="121"/>
    </row>
    <row r="97" spans="4:26" ht="15.5">
      <c r="D97" s="34"/>
      <c r="E97" s="34"/>
      <c r="F97" s="34"/>
      <c r="G97" s="34"/>
      <c r="H97" s="34"/>
      <c r="I97" s="69"/>
      <c r="J97" s="69"/>
      <c r="K97" s="69"/>
      <c r="L97" s="69"/>
      <c r="M97" s="78"/>
      <c r="N97" s="78"/>
      <c r="U97" s="119"/>
      <c r="V97" s="121"/>
      <c r="W97" s="149"/>
      <c r="X97" s="121"/>
      <c r="Y97" s="121"/>
      <c r="Z97" s="121"/>
    </row>
    <row r="98" spans="4:26" ht="15.5">
      <c r="D98" s="34"/>
      <c r="E98" s="34"/>
      <c r="F98" s="34"/>
      <c r="G98" s="34"/>
      <c r="H98" s="34"/>
      <c r="I98" s="69"/>
      <c r="J98" s="69"/>
      <c r="K98" s="69"/>
      <c r="L98" s="69"/>
      <c r="M98" s="78"/>
      <c r="N98" s="78"/>
      <c r="U98" s="119"/>
      <c r="V98" s="121"/>
      <c r="W98" s="150"/>
      <c r="X98" s="121"/>
      <c r="Y98" s="121"/>
      <c r="Z98" s="121"/>
    </row>
    <row r="99" spans="4:26" ht="15.5">
      <c r="D99" s="34"/>
      <c r="E99" s="34"/>
      <c r="F99" s="34"/>
      <c r="G99" s="34"/>
      <c r="H99" s="34"/>
      <c r="I99" s="69"/>
      <c r="J99" s="69"/>
      <c r="K99" s="69"/>
      <c r="L99" s="69"/>
      <c r="M99" s="78"/>
      <c r="N99" s="78"/>
      <c r="U99" s="119"/>
      <c r="V99" s="121"/>
      <c r="W99" s="147"/>
      <c r="X99" s="121"/>
      <c r="Y99" s="121"/>
      <c r="Z99" s="121"/>
    </row>
    <row r="100" spans="4:26" ht="15.5">
      <c r="D100" s="34"/>
      <c r="E100" s="34"/>
      <c r="F100" s="34"/>
      <c r="G100" s="34"/>
      <c r="H100" s="34"/>
      <c r="I100" s="69"/>
      <c r="J100" s="69"/>
      <c r="K100" s="69"/>
      <c r="L100" s="69"/>
      <c r="M100" s="78"/>
      <c r="N100" s="78"/>
      <c r="U100" s="119"/>
      <c r="V100" s="121"/>
      <c r="W100" s="147"/>
      <c r="X100" s="121"/>
      <c r="Y100" s="121"/>
      <c r="Z100" s="121"/>
    </row>
    <row r="101" spans="4:26" ht="15.5">
      <c r="D101" s="34"/>
      <c r="E101" s="34"/>
      <c r="F101" s="34"/>
      <c r="G101" s="34"/>
      <c r="H101" s="34"/>
      <c r="I101" s="69"/>
      <c r="J101" s="69"/>
      <c r="K101" s="69"/>
      <c r="L101" s="69"/>
      <c r="M101" s="78"/>
      <c r="N101" s="78"/>
      <c r="U101" s="119"/>
      <c r="V101" s="121"/>
      <c r="W101" s="149"/>
      <c r="X101" s="121"/>
      <c r="Y101" s="121"/>
      <c r="Z101" s="121"/>
    </row>
    <row r="102" spans="4:26" ht="15.5">
      <c r="D102" s="34"/>
      <c r="E102" s="34"/>
      <c r="F102" s="34"/>
      <c r="G102" s="34"/>
      <c r="H102" s="34"/>
      <c r="I102" s="69"/>
      <c r="J102" s="69"/>
      <c r="K102" s="69"/>
      <c r="L102" s="69"/>
      <c r="M102" s="78"/>
      <c r="N102" s="78"/>
      <c r="U102" s="119"/>
      <c r="V102" s="121"/>
      <c r="W102" s="149"/>
      <c r="X102" s="121"/>
      <c r="Y102" s="121"/>
      <c r="Z102" s="121"/>
    </row>
    <row r="103" spans="4:26" ht="15.5">
      <c r="D103" s="34"/>
      <c r="E103" s="34"/>
      <c r="F103" s="34"/>
      <c r="G103" s="34"/>
      <c r="H103" s="34"/>
      <c r="I103" s="69"/>
      <c r="J103" s="69"/>
      <c r="K103" s="69"/>
      <c r="L103" s="69"/>
      <c r="M103" s="78"/>
      <c r="N103" s="78"/>
      <c r="U103" s="119"/>
      <c r="V103" s="121"/>
      <c r="W103" s="150"/>
      <c r="X103" s="121"/>
      <c r="Y103" s="121"/>
      <c r="Z103" s="121"/>
    </row>
    <row r="104" spans="4:26" ht="15.5">
      <c r="D104" s="34"/>
      <c r="E104" s="34"/>
      <c r="F104" s="34"/>
      <c r="G104" s="34"/>
      <c r="H104" s="34"/>
      <c r="I104" s="69"/>
      <c r="J104" s="69"/>
      <c r="K104" s="69"/>
      <c r="L104" s="69"/>
      <c r="M104" s="78"/>
      <c r="N104" s="78"/>
      <c r="U104" s="119"/>
      <c r="V104" s="121"/>
      <c r="W104" s="150"/>
      <c r="X104" s="121"/>
      <c r="Y104" s="121"/>
      <c r="Z104" s="121"/>
    </row>
    <row r="105" spans="4:26" ht="15.5">
      <c r="D105" s="34"/>
      <c r="E105" s="34"/>
      <c r="F105" s="34"/>
      <c r="G105" s="34"/>
      <c r="H105" s="34"/>
      <c r="I105" s="69"/>
      <c r="J105" s="69"/>
      <c r="K105" s="69"/>
      <c r="L105" s="69"/>
      <c r="M105" s="78"/>
      <c r="N105" s="78"/>
      <c r="U105" s="119"/>
      <c r="V105" s="121"/>
      <c r="W105" s="149"/>
      <c r="X105" s="121"/>
      <c r="Y105" s="121"/>
      <c r="Z105" s="121"/>
    </row>
    <row r="106" spans="4:26" ht="15.5">
      <c r="D106" s="34"/>
      <c r="E106" s="34"/>
      <c r="F106" s="34"/>
      <c r="G106" s="34"/>
      <c r="H106" s="34"/>
      <c r="I106" s="69"/>
      <c r="J106" s="69"/>
      <c r="K106" s="69"/>
      <c r="L106" s="69"/>
      <c r="M106" s="78"/>
      <c r="N106" s="78"/>
      <c r="U106" s="119"/>
      <c r="V106" s="121"/>
      <c r="W106" s="149"/>
      <c r="X106" s="121"/>
      <c r="Y106" s="121"/>
      <c r="Z106" s="121"/>
    </row>
    <row r="107" spans="4:26" ht="15.5">
      <c r="D107" s="34"/>
      <c r="E107" s="34"/>
      <c r="F107" s="34"/>
      <c r="G107" s="34"/>
      <c r="H107" s="34"/>
      <c r="I107" s="69"/>
      <c r="J107" s="69"/>
      <c r="K107" s="69"/>
      <c r="L107" s="69"/>
      <c r="M107" s="78"/>
      <c r="N107" s="78"/>
      <c r="U107" s="119"/>
      <c r="V107" s="121"/>
      <c r="W107" s="150"/>
      <c r="X107" s="121"/>
      <c r="Y107" s="121"/>
      <c r="Z107" s="121"/>
    </row>
    <row r="108" spans="4:26" ht="15.5">
      <c r="D108" s="34"/>
      <c r="E108" s="34"/>
      <c r="F108" s="34"/>
      <c r="G108" s="34"/>
      <c r="H108" s="34"/>
      <c r="I108" s="69"/>
      <c r="J108" s="69"/>
      <c r="K108" s="69"/>
      <c r="L108" s="69"/>
      <c r="M108" s="78"/>
      <c r="N108" s="78"/>
      <c r="U108" s="119"/>
      <c r="V108" s="121"/>
      <c r="W108" s="149"/>
      <c r="X108" s="121"/>
      <c r="Y108" s="121"/>
      <c r="Z108" s="121"/>
    </row>
    <row r="109" spans="4:26" ht="15.5">
      <c r="D109" s="34"/>
      <c r="E109" s="34"/>
      <c r="F109" s="34"/>
      <c r="G109" s="34"/>
      <c r="H109" s="34"/>
      <c r="I109" s="69"/>
      <c r="J109" s="69"/>
      <c r="K109" s="69"/>
      <c r="L109" s="69"/>
      <c r="M109" s="78"/>
      <c r="N109" s="78"/>
    </row>
    <row r="110" spans="4:26" ht="15.5">
      <c r="D110" s="34"/>
      <c r="E110" s="34"/>
      <c r="F110" s="34"/>
      <c r="G110" s="34"/>
      <c r="H110" s="34"/>
      <c r="I110" s="69"/>
      <c r="J110" s="69"/>
      <c r="K110" s="69"/>
      <c r="L110" s="69"/>
      <c r="M110" s="78"/>
      <c r="N110" s="78"/>
    </row>
    <row r="111" spans="4:26" ht="15.5">
      <c r="D111" s="34"/>
      <c r="E111" s="34"/>
      <c r="F111" s="34"/>
      <c r="G111" s="34"/>
      <c r="H111" s="34"/>
      <c r="I111" s="69"/>
      <c r="J111" s="69"/>
      <c r="K111" s="69"/>
      <c r="L111" s="69"/>
      <c r="M111" s="78"/>
      <c r="N111" s="78"/>
    </row>
    <row r="112" spans="4:26" ht="15.5">
      <c r="D112" s="34"/>
      <c r="E112" s="34"/>
      <c r="F112" s="34"/>
      <c r="G112" s="34"/>
      <c r="H112" s="34"/>
      <c r="I112" s="69"/>
      <c r="J112" s="69"/>
      <c r="K112" s="69"/>
      <c r="L112" s="69"/>
      <c r="M112" s="78"/>
      <c r="N112" s="78"/>
    </row>
    <row r="113" spans="4:14" ht="15.5">
      <c r="D113" s="34"/>
      <c r="E113" s="34"/>
      <c r="F113" s="34"/>
      <c r="G113" s="34"/>
      <c r="H113" s="34"/>
      <c r="I113" s="69"/>
      <c r="J113" s="69"/>
      <c r="K113" s="69"/>
      <c r="L113" s="69"/>
      <c r="M113" s="78"/>
      <c r="N113" s="78"/>
    </row>
    <row r="114" spans="4:14" ht="15.5">
      <c r="D114" s="34"/>
      <c r="E114" s="34"/>
      <c r="F114" s="34"/>
      <c r="G114" s="34"/>
      <c r="H114" s="34"/>
      <c r="I114" s="69"/>
      <c r="J114" s="69"/>
      <c r="K114" s="69"/>
      <c r="L114" s="69"/>
      <c r="M114" s="78"/>
      <c r="N114" s="78"/>
    </row>
    <row r="115" spans="4:14" ht="15.5">
      <c r="D115" s="34"/>
      <c r="E115" s="34"/>
      <c r="F115" s="34"/>
      <c r="G115" s="34"/>
      <c r="H115" s="34"/>
      <c r="I115" s="69"/>
      <c r="J115" s="69"/>
      <c r="K115" s="69"/>
      <c r="L115" s="69"/>
      <c r="M115" s="78"/>
      <c r="N115" s="78"/>
    </row>
    <row r="116" spans="4:14" ht="15.5">
      <c r="D116" s="34"/>
      <c r="E116" s="34"/>
      <c r="F116" s="34"/>
      <c r="G116" s="34"/>
      <c r="H116" s="34"/>
      <c r="I116" s="69"/>
      <c r="J116" s="69"/>
      <c r="K116" s="69"/>
      <c r="L116" s="69"/>
      <c r="M116" s="78"/>
      <c r="N116" s="78"/>
    </row>
    <row r="117" spans="4:14" ht="15.5">
      <c r="D117" s="34"/>
      <c r="E117" s="34"/>
      <c r="F117" s="34"/>
      <c r="G117" s="34"/>
      <c r="H117" s="34"/>
      <c r="I117" s="34"/>
      <c r="J117" s="34"/>
      <c r="K117" s="69"/>
      <c r="L117" s="69"/>
      <c r="M117" s="78"/>
      <c r="N117" s="78"/>
    </row>
    <row r="118" spans="4:14" ht="15.5">
      <c r="D118" s="34"/>
      <c r="E118" s="34"/>
      <c r="F118" s="34"/>
      <c r="G118" s="34"/>
      <c r="H118" s="34"/>
      <c r="I118" s="34"/>
      <c r="J118" s="34"/>
      <c r="K118" s="69"/>
      <c r="L118" s="69"/>
      <c r="M118" s="78"/>
      <c r="N118" s="78"/>
    </row>
    <row r="119" spans="4:14" ht="15.5">
      <c r="D119" s="34"/>
      <c r="E119" s="34"/>
      <c r="F119" s="34"/>
      <c r="G119" s="34"/>
      <c r="H119" s="34"/>
      <c r="I119" s="34"/>
      <c r="J119" s="34"/>
      <c r="K119" s="69"/>
      <c r="L119" s="69"/>
      <c r="M119" s="78"/>
      <c r="N119" s="78"/>
    </row>
    <row r="120" spans="4:14" ht="15.5">
      <c r="D120" s="34"/>
      <c r="E120" s="34"/>
      <c r="F120" s="34"/>
      <c r="G120" s="34"/>
      <c r="H120" s="34"/>
      <c r="I120" s="34"/>
      <c r="J120" s="34"/>
      <c r="K120" s="69"/>
      <c r="L120" s="69"/>
      <c r="M120" s="78"/>
      <c r="N120" s="78"/>
    </row>
    <row r="121" spans="4:14" ht="15.5">
      <c r="D121" s="34"/>
      <c r="E121" s="34"/>
      <c r="F121" s="34"/>
      <c r="G121" s="34"/>
      <c r="H121" s="34"/>
      <c r="I121" s="34"/>
      <c r="J121" s="34"/>
      <c r="K121" s="69"/>
      <c r="L121" s="69"/>
      <c r="M121" s="78"/>
      <c r="N121" s="78"/>
    </row>
    <row r="122" spans="4:14" ht="15.5">
      <c r="D122" s="34"/>
      <c r="E122" s="34"/>
      <c r="F122" s="34"/>
      <c r="G122" s="34"/>
      <c r="H122" s="34"/>
      <c r="I122" s="34"/>
      <c r="J122" s="34"/>
      <c r="K122" s="69"/>
      <c r="L122" s="69"/>
      <c r="M122" s="78"/>
      <c r="N122" s="78"/>
    </row>
    <row r="123" spans="4:14" ht="12.5">
      <c r="D123" s="34"/>
      <c r="E123" s="34"/>
      <c r="F123" s="34"/>
      <c r="G123" s="34"/>
      <c r="H123" s="34"/>
      <c r="I123" s="34"/>
      <c r="J123" s="34"/>
      <c r="K123" s="34"/>
      <c r="L123" s="34"/>
    </row>
    <row r="124" spans="4:14" ht="12.5">
      <c r="D124" s="34"/>
      <c r="E124" s="34"/>
      <c r="F124" s="34"/>
      <c r="G124" s="34"/>
      <c r="H124" s="34"/>
      <c r="I124" s="34"/>
      <c r="J124" s="34"/>
      <c r="K124" s="34"/>
      <c r="L124" s="34"/>
    </row>
    <row r="125" spans="4:14" ht="12.5">
      <c r="D125" s="34"/>
      <c r="E125" s="34"/>
      <c r="F125" s="34"/>
      <c r="G125" s="34"/>
      <c r="H125" s="34"/>
      <c r="I125" s="34"/>
      <c r="J125" s="34"/>
      <c r="K125" s="34"/>
      <c r="L125" s="34"/>
    </row>
    <row r="126" spans="4:14" ht="12.5">
      <c r="D126" s="34"/>
      <c r="E126" s="34"/>
      <c r="F126" s="34"/>
      <c r="G126" s="34"/>
      <c r="H126" s="34"/>
      <c r="I126" s="34"/>
      <c r="J126" s="34"/>
      <c r="K126" s="34"/>
      <c r="L126" s="34"/>
    </row>
  </sheetData>
  <mergeCells count="480">
    <mergeCell ref="W77:Z77"/>
    <mergeCell ref="Q78:T78"/>
    <mergeCell ref="U78:V78"/>
    <mergeCell ref="W78:Z78"/>
    <mergeCell ref="W79:Z79"/>
    <mergeCell ref="W73:Z73"/>
    <mergeCell ref="W74:Z74"/>
    <mergeCell ref="W75:Z75"/>
    <mergeCell ref="W76:Z76"/>
    <mergeCell ref="G75:J75"/>
    <mergeCell ref="G76:J76"/>
    <mergeCell ref="G77:J77"/>
    <mergeCell ref="G78:J78"/>
    <mergeCell ref="G68:J68"/>
    <mergeCell ref="G69:J69"/>
    <mergeCell ref="G70:J70"/>
    <mergeCell ref="G71:J71"/>
    <mergeCell ref="G72:J72"/>
    <mergeCell ref="G73:J73"/>
    <mergeCell ref="G74:J74"/>
    <mergeCell ref="Q73:T73"/>
    <mergeCell ref="Q74:T74"/>
    <mergeCell ref="U74:V74"/>
    <mergeCell ref="Q75:T75"/>
    <mergeCell ref="U75:V75"/>
    <mergeCell ref="Q76:T76"/>
    <mergeCell ref="U76:V76"/>
    <mergeCell ref="Q77:T77"/>
    <mergeCell ref="U77:V77"/>
    <mergeCell ref="G60:J60"/>
    <mergeCell ref="G61:J61"/>
    <mergeCell ref="G62:J62"/>
    <mergeCell ref="G63:J63"/>
    <mergeCell ref="G64:J64"/>
    <mergeCell ref="G65:J65"/>
    <mergeCell ref="G66:J66"/>
    <mergeCell ref="G67:J67"/>
    <mergeCell ref="U73:V73"/>
    <mergeCell ref="G51:J51"/>
    <mergeCell ref="G52:J52"/>
    <mergeCell ref="G53:J53"/>
    <mergeCell ref="G54:J54"/>
    <mergeCell ref="G55:J55"/>
    <mergeCell ref="G56:J56"/>
    <mergeCell ref="G57:J57"/>
    <mergeCell ref="G58:J58"/>
    <mergeCell ref="G59:J59"/>
    <mergeCell ref="G42:J42"/>
    <mergeCell ref="G43:J43"/>
    <mergeCell ref="G44:J44"/>
    <mergeCell ref="G45:J45"/>
    <mergeCell ref="G46:J46"/>
    <mergeCell ref="G47:J47"/>
    <mergeCell ref="G48:J48"/>
    <mergeCell ref="G49:J49"/>
    <mergeCell ref="G50:J50"/>
    <mergeCell ref="G33:J33"/>
    <mergeCell ref="G34:J34"/>
    <mergeCell ref="G35:J35"/>
    <mergeCell ref="G36:J36"/>
    <mergeCell ref="G37:J37"/>
    <mergeCell ref="G38:J38"/>
    <mergeCell ref="G39:J39"/>
    <mergeCell ref="G40:J40"/>
    <mergeCell ref="G41:J41"/>
    <mergeCell ref="G24:J24"/>
    <mergeCell ref="G25:J25"/>
    <mergeCell ref="G26:J26"/>
    <mergeCell ref="G27:J27"/>
    <mergeCell ref="G28:J28"/>
    <mergeCell ref="G29:J29"/>
    <mergeCell ref="G30:J30"/>
    <mergeCell ref="G31:J31"/>
    <mergeCell ref="G32:J32"/>
    <mergeCell ref="Z23:AA23"/>
    <mergeCell ref="G2:J2"/>
    <mergeCell ref="G3:J3"/>
    <mergeCell ref="G4:J4"/>
    <mergeCell ref="G5:J5"/>
    <mergeCell ref="G6:J6"/>
    <mergeCell ref="G7:J7"/>
    <mergeCell ref="G8:J8"/>
    <mergeCell ref="G12:J12"/>
    <mergeCell ref="G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Q21:T21"/>
    <mergeCell ref="Z21:AA21"/>
    <mergeCell ref="AB21:AE21"/>
    <mergeCell ref="AB22:AE22"/>
    <mergeCell ref="V21:W21"/>
    <mergeCell ref="X21:Y21"/>
    <mergeCell ref="Q22:T22"/>
    <mergeCell ref="V22:W22"/>
    <mergeCell ref="X22:Y22"/>
    <mergeCell ref="Z22:AA22"/>
    <mergeCell ref="G9:J9"/>
    <mergeCell ref="G10:J10"/>
    <mergeCell ref="G11:J11"/>
    <mergeCell ref="V11:W11"/>
    <mergeCell ref="X11:Y11"/>
    <mergeCell ref="Z11:AA11"/>
    <mergeCell ref="AB11:AE11"/>
    <mergeCell ref="V13:W13"/>
    <mergeCell ref="X13:Y13"/>
    <mergeCell ref="Q6:T6"/>
    <mergeCell ref="V6:W6"/>
    <mergeCell ref="X6:Y6"/>
    <mergeCell ref="Z6:AA6"/>
    <mergeCell ref="AB6:AE6"/>
    <mergeCell ref="V1:W1"/>
    <mergeCell ref="V2:W2"/>
    <mergeCell ref="Q3:T3"/>
    <mergeCell ref="V3:W3"/>
    <mergeCell ref="Q4:T4"/>
    <mergeCell ref="V4:W4"/>
    <mergeCell ref="V5:W5"/>
    <mergeCell ref="G1:J1"/>
    <mergeCell ref="Q1:T1"/>
    <mergeCell ref="X1:Y1"/>
    <mergeCell ref="Z1:AA1"/>
    <mergeCell ref="AB1:AE1"/>
    <mergeCell ref="Q2:T2"/>
    <mergeCell ref="AB2:AE2"/>
    <mergeCell ref="X4:Y4"/>
    <mergeCell ref="X5:Y5"/>
    <mergeCell ref="Z5:AA5"/>
    <mergeCell ref="X2:Y2"/>
    <mergeCell ref="Z2:AA2"/>
    <mergeCell ref="X3:Y3"/>
    <mergeCell ref="Z3:AA3"/>
    <mergeCell ref="AB3:AE3"/>
    <mergeCell ref="Z4:AA4"/>
    <mergeCell ref="AB4:AE4"/>
    <mergeCell ref="AB5:AE5"/>
    <mergeCell ref="Q5:T5"/>
    <mergeCell ref="V10:W10"/>
    <mergeCell ref="X10:Y10"/>
    <mergeCell ref="Z10:AA10"/>
    <mergeCell ref="AB10:AE10"/>
    <mergeCell ref="Q8:T8"/>
    <mergeCell ref="Q9:T9"/>
    <mergeCell ref="V9:W9"/>
    <mergeCell ref="X9:Y9"/>
    <mergeCell ref="Z9:AA9"/>
    <mergeCell ref="AB9:AE9"/>
    <mergeCell ref="Q10:T10"/>
    <mergeCell ref="X8:Y8"/>
    <mergeCell ref="Z8:AA8"/>
    <mergeCell ref="Q7:T7"/>
    <mergeCell ref="V7:W7"/>
    <mergeCell ref="X7:Y7"/>
    <mergeCell ref="Z7:AA7"/>
    <mergeCell ref="AB7:AE7"/>
    <mergeCell ref="V8:W8"/>
    <mergeCell ref="AB8:AE8"/>
    <mergeCell ref="W102:Z102"/>
    <mergeCell ref="W103:Z103"/>
    <mergeCell ref="W104:Z104"/>
    <mergeCell ref="W105:Z105"/>
    <mergeCell ref="W106:Z106"/>
    <mergeCell ref="W107:Z107"/>
    <mergeCell ref="W108:Z108"/>
    <mergeCell ref="W94:Z94"/>
    <mergeCell ref="W95:Z95"/>
    <mergeCell ref="W96:Z96"/>
    <mergeCell ref="W97:Z97"/>
    <mergeCell ref="W98:Z98"/>
    <mergeCell ref="W99:Z99"/>
    <mergeCell ref="W100:Z100"/>
    <mergeCell ref="W93:Z93"/>
    <mergeCell ref="U93:V93"/>
    <mergeCell ref="U94:V94"/>
    <mergeCell ref="U95:V95"/>
    <mergeCell ref="U96:V96"/>
    <mergeCell ref="U97:V97"/>
    <mergeCell ref="U98:V98"/>
    <mergeCell ref="U99:V99"/>
    <mergeCell ref="W101:Z101"/>
    <mergeCell ref="U90:V90"/>
    <mergeCell ref="U91:V91"/>
    <mergeCell ref="U92:V92"/>
    <mergeCell ref="W87:Z87"/>
    <mergeCell ref="W88:Z88"/>
    <mergeCell ref="W89:Z89"/>
    <mergeCell ref="W90:Z90"/>
    <mergeCell ref="W91:Z91"/>
    <mergeCell ref="W92:Z92"/>
    <mergeCell ref="U84:V84"/>
    <mergeCell ref="W84:Z84"/>
    <mergeCell ref="U85:V85"/>
    <mergeCell ref="W85:Z85"/>
    <mergeCell ref="W86:Z86"/>
    <mergeCell ref="U86:V86"/>
    <mergeCell ref="U87:V87"/>
    <mergeCell ref="U88:V88"/>
    <mergeCell ref="U89:V89"/>
    <mergeCell ref="U79:V79"/>
    <mergeCell ref="U80:V80"/>
    <mergeCell ref="W80:Z80"/>
    <mergeCell ref="U81:V81"/>
    <mergeCell ref="W81:Z81"/>
    <mergeCell ref="U82:V82"/>
    <mergeCell ref="W82:Z82"/>
    <mergeCell ref="U83:V83"/>
    <mergeCell ref="W83:Z83"/>
    <mergeCell ref="U107:V107"/>
    <mergeCell ref="U108:V108"/>
    <mergeCell ref="U100:V100"/>
    <mergeCell ref="U101:V101"/>
    <mergeCell ref="U102:V102"/>
    <mergeCell ref="U103:V103"/>
    <mergeCell ref="U104:V104"/>
    <mergeCell ref="U105:V105"/>
    <mergeCell ref="U106:V106"/>
    <mergeCell ref="U65:V65"/>
    <mergeCell ref="W65:Z65"/>
    <mergeCell ref="U66:V66"/>
    <mergeCell ref="W66:Z66"/>
    <mergeCell ref="W67:Z67"/>
    <mergeCell ref="W68:Z68"/>
    <mergeCell ref="W69:Z69"/>
    <mergeCell ref="Q59:T59"/>
    <mergeCell ref="Q60:T60"/>
    <mergeCell ref="Q61:T61"/>
    <mergeCell ref="Q62:T62"/>
    <mergeCell ref="Q63:T63"/>
    <mergeCell ref="Q64:T64"/>
    <mergeCell ref="Q65:T65"/>
    <mergeCell ref="Q66:T66"/>
    <mergeCell ref="Q67:T67"/>
    <mergeCell ref="U67:V67"/>
    <mergeCell ref="Q68:T68"/>
    <mergeCell ref="U68:V68"/>
    <mergeCell ref="Q69:T69"/>
    <mergeCell ref="U69:V69"/>
    <mergeCell ref="Q57:T57"/>
    <mergeCell ref="X59:Y59"/>
    <mergeCell ref="Z59:AA59"/>
    <mergeCell ref="Q58:T58"/>
    <mergeCell ref="V58:W58"/>
    <mergeCell ref="X58:Y58"/>
    <mergeCell ref="Z58:AA58"/>
    <mergeCell ref="AB58:AE58"/>
    <mergeCell ref="V59:W59"/>
    <mergeCell ref="AB59:AE59"/>
    <mergeCell ref="AB53:AE53"/>
    <mergeCell ref="AB54:AE54"/>
    <mergeCell ref="V57:W57"/>
    <mergeCell ref="X57:Y57"/>
    <mergeCell ref="Z57:AA57"/>
    <mergeCell ref="AB57:AE57"/>
    <mergeCell ref="U72:V72"/>
    <mergeCell ref="W72:Z72"/>
    <mergeCell ref="Q70:T70"/>
    <mergeCell ref="U70:V70"/>
    <mergeCell ref="W70:Z70"/>
    <mergeCell ref="Q71:T71"/>
    <mergeCell ref="U71:V71"/>
    <mergeCell ref="W71:Z71"/>
    <mergeCell ref="Q72:T72"/>
    <mergeCell ref="V55:W55"/>
    <mergeCell ref="X55:Y55"/>
    <mergeCell ref="AB55:AE55"/>
    <mergeCell ref="Q55:T55"/>
    <mergeCell ref="Q56:T56"/>
    <mergeCell ref="V56:W56"/>
    <mergeCell ref="X56:Y56"/>
    <mergeCell ref="Z56:AA56"/>
    <mergeCell ref="AB56:AE56"/>
    <mergeCell ref="Q53:T53"/>
    <mergeCell ref="V53:W53"/>
    <mergeCell ref="X53:Y53"/>
    <mergeCell ref="Q54:T54"/>
    <mergeCell ref="V54:W54"/>
    <mergeCell ref="X54:Y54"/>
    <mergeCell ref="Z54:AA54"/>
    <mergeCell ref="Z55:AA55"/>
    <mergeCell ref="V47:W47"/>
    <mergeCell ref="X47:Y47"/>
    <mergeCell ref="Q47:T47"/>
    <mergeCell ref="Q48:T48"/>
    <mergeCell ref="V48:W48"/>
    <mergeCell ref="X48:Y48"/>
    <mergeCell ref="Z48:AA48"/>
    <mergeCell ref="Q49:T49"/>
    <mergeCell ref="X51:Y51"/>
    <mergeCell ref="Z51:AA51"/>
    <mergeCell ref="Q50:T50"/>
    <mergeCell ref="V50:W50"/>
    <mergeCell ref="X50:Y50"/>
    <mergeCell ref="Z50:AA50"/>
    <mergeCell ref="V51:W51"/>
    <mergeCell ref="Z53:AA53"/>
    <mergeCell ref="AB45:AE45"/>
    <mergeCell ref="AB46:AE46"/>
    <mergeCell ref="V49:W49"/>
    <mergeCell ref="X49:Y49"/>
    <mergeCell ref="Z49:AA49"/>
    <mergeCell ref="AB49:AE49"/>
    <mergeCell ref="Q51:T51"/>
    <mergeCell ref="Q52:T52"/>
    <mergeCell ref="V52:W52"/>
    <mergeCell ref="X52:Y52"/>
    <mergeCell ref="Z52:AA52"/>
    <mergeCell ref="AB52:AE52"/>
    <mergeCell ref="AB47:AE47"/>
    <mergeCell ref="AB48:AE48"/>
    <mergeCell ref="AB50:AE50"/>
    <mergeCell ref="AB51:AE51"/>
    <mergeCell ref="Q45:T45"/>
    <mergeCell ref="V45:W45"/>
    <mergeCell ref="X45:Y45"/>
    <mergeCell ref="Q46:T46"/>
    <mergeCell ref="V46:W46"/>
    <mergeCell ref="X46:Y46"/>
    <mergeCell ref="Z46:AA46"/>
    <mergeCell ref="Z47:AA47"/>
    <mergeCell ref="V39:W39"/>
    <mergeCell ref="X39:Y39"/>
    <mergeCell ref="Q39:T39"/>
    <mergeCell ref="Q40:T40"/>
    <mergeCell ref="V40:W40"/>
    <mergeCell ref="X40:Y40"/>
    <mergeCell ref="Z40:AA40"/>
    <mergeCell ref="Q41:T41"/>
    <mergeCell ref="X43:Y43"/>
    <mergeCell ref="Z43:AA43"/>
    <mergeCell ref="Q42:T42"/>
    <mergeCell ref="V42:W42"/>
    <mergeCell ref="X42:Y42"/>
    <mergeCell ref="Z42:AA42"/>
    <mergeCell ref="V43:W43"/>
    <mergeCell ref="Z45:AA45"/>
    <mergeCell ref="AB37:AE37"/>
    <mergeCell ref="AB38:AE38"/>
    <mergeCell ref="V41:W41"/>
    <mergeCell ref="X41:Y41"/>
    <mergeCell ref="Z41:AA41"/>
    <mergeCell ref="AB41:AE41"/>
    <mergeCell ref="Q43:T43"/>
    <mergeCell ref="Q44:T44"/>
    <mergeCell ref="V44:W44"/>
    <mergeCell ref="X44:Y44"/>
    <mergeCell ref="Z44:AA44"/>
    <mergeCell ref="AB44:AE44"/>
    <mergeCell ref="AB39:AE39"/>
    <mergeCell ref="AB40:AE40"/>
    <mergeCell ref="AB42:AE42"/>
    <mergeCell ref="AB43:AE43"/>
    <mergeCell ref="Q37:T37"/>
    <mergeCell ref="V37:W37"/>
    <mergeCell ref="X37:Y37"/>
    <mergeCell ref="Q38:T38"/>
    <mergeCell ref="V38:W38"/>
    <mergeCell ref="X38:Y38"/>
    <mergeCell ref="Z38:AA38"/>
    <mergeCell ref="Z39:AA39"/>
    <mergeCell ref="V31:W31"/>
    <mergeCell ref="X31:Y31"/>
    <mergeCell ref="Q31:T31"/>
    <mergeCell ref="Q32:T32"/>
    <mergeCell ref="V32:W32"/>
    <mergeCell ref="X32:Y32"/>
    <mergeCell ref="Z32:AA32"/>
    <mergeCell ref="Q33:T33"/>
    <mergeCell ref="X35:Y35"/>
    <mergeCell ref="Z35:AA35"/>
    <mergeCell ref="Q34:T34"/>
    <mergeCell ref="V34:W34"/>
    <mergeCell ref="X34:Y34"/>
    <mergeCell ref="Z34:AA34"/>
    <mergeCell ref="V35:W35"/>
    <mergeCell ref="Z37:AA37"/>
    <mergeCell ref="AB29:AE29"/>
    <mergeCell ref="AB30:AE30"/>
    <mergeCell ref="V33:W33"/>
    <mergeCell ref="X33:Y33"/>
    <mergeCell ref="Z33:AA33"/>
    <mergeCell ref="AB33:AE33"/>
    <mergeCell ref="Q35:T35"/>
    <mergeCell ref="Q36:T36"/>
    <mergeCell ref="V36:W36"/>
    <mergeCell ref="X36:Y36"/>
    <mergeCell ref="Z36:AA36"/>
    <mergeCell ref="AB36:AE36"/>
    <mergeCell ref="AB31:AE31"/>
    <mergeCell ref="AB32:AE32"/>
    <mergeCell ref="AB34:AE34"/>
    <mergeCell ref="AB35:AE35"/>
    <mergeCell ref="Q29:T29"/>
    <mergeCell ref="V29:W29"/>
    <mergeCell ref="X29:Y29"/>
    <mergeCell ref="Q30:T30"/>
    <mergeCell ref="V30:W30"/>
    <mergeCell ref="X30:Y30"/>
    <mergeCell ref="Z30:AA30"/>
    <mergeCell ref="Z31:AA31"/>
    <mergeCell ref="V23:W23"/>
    <mergeCell ref="X23:Y23"/>
    <mergeCell ref="Q23:T23"/>
    <mergeCell ref="Q24:T24"/>
    <mergeCell ref="V24:W24"/>
    <mergeCell ref="X24:Y24"/>
    <mergeCell ref="Z24:AA24"/>
    <mergeCell ref="Q25:T25"/>
    <mergeCell ref="X27:Y27"/>
    <mergeCell ref="Z27:AA27"/>
    <mergeCell ref="Q26:T26"/>
    <mergeCell ref="V26:W26"/>
    <mergeCell ref="X26:Y26"/>
    <mergeCell ref="Z26:AA26"/>
    <mergeCell ref="V27:W27"/>
    <mergeCell ref="Z29:AA29"/>
    <mergeCell ref="AB18:AE18"/>
    <mergeCell ref="V25:W25"/>
    <mergeCell ref="X25:Y25"/>
    <mergeCell ref="Z25:AA25"/>
    <mergeCell ref="AB25:AE25"/>
    <mergeCell ref="Q27:T27"/>
    <mergeCell ref="Q28:T28"/>
    <mergeCell ref="V28:W28"/>
    <mergeCell ref="X28:Y28"/>
    <mergeCell ref="Z28:AA28"/>
    <mergeCell ref="AB28:AE28"/>
    <mergeCell ref="AB23:AE23"/>
    <mergeCell ref="AB24:AE24"/>
    <mergeCell ref="AB26:AE26"/>
    <mergeCell ref="AB27:AE27"/>
    <mergeCell ref="V19:W19"/>
    <mergeCell ref="X19:Y19"/>
    <mergeCell ref="AB19:AE19"/>
    <mergeCell ref="Q19:T19"/>
    <mergeCell ref="Q20:T20"/>
    <mergeCell ref="V20:W20"/>
    <mergeCell ref="X20:Y20"/>
    <mergeCell ref="Z20:AA20"/>
    <mergeCell ref="AB20:AE20"/>
    <mergeCell ref="Q18:T18"/>
    <mergeCell ref="V18:W18"/>
    <mergeCell ref="X18:Y18"/>
    <mergeCell ref="Z18:AA18"/>
    <mergeCell ref="Z19:AA19"/>
    <mergeCell ref="Z13:AA13"/>
    <mergeCell ref="AB13:AE13"/>
    <mergeCell ref="Q11:T11"/>
    <mergeCell ref="Q12:T12"/>
    <mergeCell ref="V12:W12"/>
    <mergeCell ref="X12:Y12"/>
    <mergeCell ref="Z12:AA12"/>
    <mergeCell ref="AB12:AE12"/>
    <mergeCell ref="Q13:T13"/>
    <mergeCell ref="X15:Y15"/>
    <mergeCell ref="Z15:AA15"/>
    <mergeCell ref="Q14:T14"/>
    <mergeCell ref="V14:W14"/>
    <mergeCell ref="X14:Y14"/>
    <mergeCell ref="Z14:AA14"/>
    <mergeCell ref="AB14:AE14"/>
    <mergeCell ref="V15:W15"/>
    <mergeCell ref="AB15:AE15"/>
    <mergeCell ref="Z17:AA17"/>
    <mergeCell ref="Q15:T15"/>
    <mergeCell ref="Q16:T16"/>
    <mergeCell ref="V16:W16"/>
    <mergeCell ref="X16:Y16"/>
    <mergeCell ref="Z16:AA16"/>
    <mergeCell ref="AB16:AE16"/>
    <mergeCell ref="Q17:T17"/>
    <mergeCell ref="V17:W17"/>
    <mergeCell ref="X17:Y17"/>
    <mergeCell ref="AB17:AE17"/>
  </mergeCells>
  <phoneticPr fontId="23" type="noConversion"/>
  <conditionalFormatting sqref="B6">
    <cfRule type="notContainsBlanks" dxfId="2" priority="1">
      <formula>LEN(TRIM(B6))&gt;0</formula>
    </cfRule>
  </conditionalFormatting>
  <dataValidations count="1">
    <dataValidation type="list" allowBlank="1" showErrorMessage="1" sqref="B2:B78" xr:uid="{00000000-0002-0000-0600-000000000000}">
      <formula1>"TR#13,TR#14,TR#15,TR#16,TR#17,TR#18,TR#19,TR#20,TR#21,TR#22,TR#23,TR#24,TR#25"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N28"/>
  <sheetViews>
    <sheetView workbookViewId="0"/>
  </sheetViews>
  <sheetFormatPr defaultColWidth="12.6328125" defaultRowHeight="15.75" customHeight="1"/>
  <sheetData>
    <row r="1" spans="1:14" ht="15.75" customHeight="1">
      <c r="A1" s="82" t="s">
        <v>226</v>
      </c>
      <c r="B1" s="82" t="s">
        <v>227</v>
      </c>
      <c r="C1" s="82" t="s">
        <v>119</v>
      </c>
      <c r="D1" s="82" t="s">
        <v>120</v>
      </c>
      <c r="E1" s="82" t="s">
        <v>228</v>
      </c>
      <c r="F1" s="82" t="s">
        <v>229</v>
      </c>
      <c r="G1" s="82" t="s">
        <v>230</v>
      </c>
      <c r="H1" s="82" t="s">
        <v>231</v>
      </c>
      <c r="I1" s="157" t="s">
        <v>125</v>
      </c>
      <c r="J1" s="116"/>
      <c r="K1" s="157" t="s">
        <v>57</v>
      </c>
      <c r="L1" s="158"/>
      <c r="M1" s="159" t="s">
        <v>127</v>
      </c>
      <c r="N1" s="114"/>
    </row>
    <row r="2" spans="1:14">
      <c r="A2" s="29">
        <v>24.89199</v>
      </c>
      <c r="B2" s="29">
        <v>121.56703</v>
      </c>
      <c r="C2" s="29">
        <v>5</v>
      </c>
      <c r="D2" s="29">
        <v>28.36</v>
      </c>
      <c r="E2" s="29">
        <v>21.21</v>
      </c>
      <c r="F2" s="29">
        <v>30.95</v>
      </c>
      <c r="G2" s="29">
        <v>45.1</v>
      </c>
      <c r="H2" s="29">
        <v>11.57</v>
      </c>
      <c r="I2" s="160">
        <v>5785</v>
      </c>
      <c r="J2" s="116"/>
      <c r="K2" s="160">
        <v>5786</v>
      </c>
      <c r="L2" s="116"/>
      <c r="M2" s="156"/>
      <c r="N2" s="118"/>
    </row>
    <row r="3" spans="1:14" ht="15.75" customHeight="1">
      <c r="A3" s="29">
        <v>24.891960000000001</v>
      </c>
      <c r="B3" s="29">
        <v>121.56711</v>
      </c>
      <c r="C3" s="29">
        <v>11.7</v>
      </c>
      <c r="D3" s="29">
        <v>17.03</v>
      </c>
      <c r="E3" s="29">
        <v>15.76</v>
      </c>
      <c r="F3" s="29">
        <v>37.81</v>
      </c>
      <c r="G3" s="29">
        <v>27.34</v>
      </c>
      <c r="H3" s="29">
        <v>31.16</v>
      </c>
      <c r="I3" s="117">
        <v>5788</v>
      </c>
      <c r="J3" s="118"/>
      <c r="K3" s="117">
        <v>5787</v>
      </c>
      <c r="L3" s="118"/>
      <c r="M3" s="156"/>
      <c r="N3" s="118"/>
    </row>
    <row r="4" spans="1:14" ht="15.75" customHeight="1">
      <c r="A4" s="29">
        <v>24.891960000000001</v>
      </c>
      <c r="B4" s="29">
        <v>121.56711</v>
      </c>
      <c r="C4" s="29">
        <v>40</v>
      </c>
      <c r="D4" s="29">
        <v>6.73</v>
      </c>
      <c r="E4" s="29">
        <v>670</v>
      </c>
      <c r="F4" s="29">
        <v>1238</v>
      </c>
      <c r="G4" s="29">
        <v>790</v>
      </c>
      <c r="H4" s="29">
        <v>103.1</v>
      </c>
      <c r="I4" s="117">
        <v>5789</v>
      </c>
      <c r="J4" s="118"/>
      <c r="K4" s="117">
        <v>5790</v>
      </c>
      <c r="L4" s="118"/>
      <c r="M4" s="156"/>
      <c r="N4" s="118"/>
    </row>
    <row r="5" spans="1:14" ht="15.75" customHeight="1">
      <c r="A5" s="29">
        <v>24.891950000000001</v>
      </c>
      <c r="B5" s="29">
        <v>121.56722000000001</v>
      </c>
      <c r="C5" s="29">
        <v>6.5</v>
      </c>
      <c r="D5" s="29">
        <v>16.329999999999998</v>
      </c>
      <c r="E5" s="29">
        <v>24.1</v>
      </c>
      <c r="F5" s="29">
        <v>14.93</v>
      </c>
      <c r="G5" s="29">
        <v>38.39</v>
      </c>
      <c r="H5" s="29">
        <v>75.355000000000004</v>
      </c>
      <c r="I5" s="117">
        <v>5794</v>
      </c>
      <c r="J5" s="118"/>
      <c r="K5" s="117"/>
      <c r="L5" s="118"/>
      <c r="M5" s="156"/>
      <c r="N5" s="118"/>
    </row>
    <row r="6" spans="1:14" ht="15.75" customHeight="1">
      <c r="A6" s="29">
        <v>24.891950000000001</v>
      </c>
      <c r="B6" s="29">
        <v>121.56722000000001</v>
      </c>
      <c r="C6" s="29">
        <v>26</v>
      </c>
      <c r="D6" s="29">
        <v>13.96</v>
      </c>
      <c r="E6" s="29">
        <v>40.729999999999997</v>
      </c>
      <c r="F6" s="29">
        <v>70.69</v>
      </c>
      <c r="G6" s="29">
        <v>121.99</v>
      </c>
      <c r="H6" s="29">
        <v>45.07</v>
      </c>
      <c r="I6" s="117">
        <v>5793</v>
      </c>
      <c r="J6" s="118"/>
      <c r="K6" s="117"/>
      <c r="L6" s="118"/>
      <c r="M6" s="156"/>
      <c r="N6" s="118"/>
    </row>
    <row r="7" spans="1:14" ht="15.75" customHeight="1">
      <c r="A7" s="29">
        <v>24.891950000000001</v>
      </c>
      <c r="B7" s="29">
        <v>121.56722000000001</v>
      </c>
      <c r="C7" s="29">
        <v>55</v>
      </c>
      <c r="D7" s="29">
        <v>12.14</v>
      </c>
      <c r="E7" s="29">
        <v>410</v>
      </c>
      <c r="F7" s="29">
        <v>94.64</v>
      </c>
      <c r="G7" s="29">
        <v>149.61000000000001</v>
      </c>
      <c r="H7" s="29">
        <v>1184</v>
      </c>
      <c r="I7" s="117">
        <v>5792</v>
      </c>
      <c r="J7" s="118"/>
      <c r="K7" s="117"/>
      <c r="L7" s="118"/>
      <c r="M7" s="156"/>
      <c r="N7" s="118"/>
    </row>
    <row r="8" spans="1:14" ht="15.75" customHeight="1">
      <c r="A8" s="29">
        <v>24.891950000000001</v>
      </c>
      <c r="B8" s="29">
        <v>121.56722000000001</v>
      </c>
      <c r="C8" s="29">
        <v>82</v>
      </c>
      <c r="D8" s="29">
        <v>3.24</v>
      </c>
      <c r="E8" s="29">
        <v>507</v>
      </c>
      <c r="F8" s="29">
        <v>465</v>
      </c>
      <c r="G8" s="29">
        <v>161.55000000000001</v>
      </c>
      <c r="H8" s="29">
        <v>1580</v>
      </c>
      <c r="I8" s="117">
        <v>5791</v>
      </c>
      <c r="J8" s="118"/>
      <c r="K8" s="117"/>
      <c r="L8" s="118"/>
      <c r="M8" s="156"/>
      <c r="N8" s="118"/>
    </row>
    <row r="9" spans="1:14" ht="15.75" customHeight="1">
      <c r="A9" s="29">
        <v>24.89189</v>
      </c>
      <c r="B9" s="29">
        <v>121.56722000000001</v>
      </c>
      <c r="C9" s="29">
        <v>11.8</v>
      </c>
      <c r="D9" s="29">
        <v>15.51</v>
      </c>
      <c r="E9" s="29">
        <v>22.87</v>
      </c>
      <c r="F9" s="29">
        <v>31.15</v>
      </c>
      <c r="G9" s="29">
        <v>12.84</v>
      </c>
      <c r="H9" s="29">
        <v>21.94</v>
      </c>
      <c r="I9" s="117">
        <v>5801</v>
      </c>
      <c r="J9" s="118"/>
      <c r="K9" s="117">
        <v>5797</v>
      </c>
      <c r="L9" s="118"/>
      <c r="M9" s="156"/>
      <c r="N9" s="118"/>
    </row>
    <row r="10" spans="1:14" ht="15.75" customHeight="1">
      <c r="A10" s="29">
        <v>24.89189</v>
      </c>
      <c r="B10" s="29">
        <v>121.56722000000001</v>
      </c>
      <c r="C10" s="29">
        <v>37.700000000000003</v>
      </c>
      <c r="D10" s="29">
        <v>24.36</v>
      </c>
      <c r="E10" s="29">
        <v>103.06</v>
      </c>
      <c r="F10" s="29">
        <v>39.29</v>
      </c>
      <c r="G10" s="29">
        <v>78.23</v>
      </c>
      <c r="H10" s="29">
        <v>45.97</v>
      </c>
      <c r="I10" s="117">
        <v>5800</v>
      </c>
      <c r="J10" s="118"/>
      <c r="K10" s="117">
        <v>5796</v>
      </c>
      <c r="L10" s="118"/>
      <c r="M10" s="156"/>
      <c r="N10" s="118"/>
    </row>
    <row r="11" spans="1:14" ht="15.75" customHeight="1">
      <c r="A11" s="29">
        <v>24.89189</v>
      </c>
      <c r="B11" s="29">
        <v>121.56722000000001</v>
      </c>
      <c r="C11" s="29">
        <v>60</v>
      </c>
      <c r="D11" s="29">
        <v>36.24</v>
      </c>
      <c r="E11" s="29">
        <v>92.39</v>
      </c>
      <c r="F11" s="29">
        <v>74.94</v>
      </c>
      <c r="G11" s="29" t="s">
        <v>155</v>
      </c>
      <c r="H11" s="29">
        <v>590</v>
      </c>
      <c r="I11" s="117">
        <v>5799</v>
      </c>
      <c r="J11" s="118"/>
      <c r="K11" s="117">
        <v>5795</v>
      </c>
      <c r="L11" s="118"/>
      <c r="M11" s="156"/>
      <c r="N11" s="118"/>
    </row>
    <row r="12" spans="1:14" ht="15.75" customHeight="1">
      <c r="A12" s="29">
        <v>24.89189</v>
      </c>
      <c r="B12" s="29">
        <v>121.56722000000001</v>
      </c>
      <c r="C12" s="29">
        <v>88.5</v>
      </c>
      <c r="D12" s="29">
        <v>35.26</v>
      </c>
      <c r="E12" s="29">
        <v>134.34</v>
      </c>
      <c r="F12" s="29" t="s">
        <v>155</v>
      </c>
      <c r="G12" s="29" t="s">
        <v>155</v>
      </c>
      <c r="H12" s="29" t="s">
        <v>155</v>
      </c>
      <c r="I12" s="117">
        <v>5798</v>
      </c>
      <c r="J12" s="118"/>
      <c r="K12" s="117">
        <v>5795</v>
      </c>
      <c r="L12" s="118"/>
      <c r="M12" s="156"/>
      <c r="N12" s="118"/>
    </row>
    <row r="13" spans="1:14" ht="15.75" customHeight="1">
      <c r="A13" s="29"/>
      <c r="B13" s="29"/>
      <c r="C13" s="29"/>
      <c r="D13" s="29"/>
      <c r="E13" s="29"/>
      <c r="F13" s="29"/>
      <c r="G13" s="29"/>
      <c r="H13" s="29"/>
      <c r="I13" s="117"/>
      <c r="J13" s="118"/>
      <c r="K13" s="117"/>
      <c r="L13" s="118"/>
      <c r="M13" s="156"/>
      <c r="N13" s="118"/>
    </row>
    <row r="14" spans="1:14" ht="15.75" customHeight="1">
      <c r="A14" s="29"/>
      <c r="B14" s="29"/>
      <c r="C14" s="29"/>
      <c r="D14" s="29"/>
      <c r="E14" s="29"/>
      <c r="F14" s="29"/>
      <c r="G14" s="29"/>
      <c r="H14" s="29"/>
      <c r="I14" s="117"/>
      <c r="J14" s="118"/>
      <c r="K14" s="117"/>
      <c r="L14" s="118"/>
      <c r="M14" s="156"/>
      <c r="N14" s="118"/>
    </row>
    <row r="15" spans="1:14" ht="15.75" customHeight="1">
      <c r="A15" s="29"/>
      <c r="B15" s="29"/>
      <c r="C15" s="29"/>
      <c r="D15" s="29"/>
      <c r="E15" s="29"/>
      <c r="F15" s="29"/>
      <c r="G15" s="29"/>
      <c r="H15" s="29"/>
      <c r="I15" s="117"/>
      <c r="J15" s="118"/>
      <c r="K15" s="117"/>
      <c r="L15" s="118"/>
      <c r="M15" s="156"/>
      <c r="N15" s="118"/>
    </row>
    <row r="16" spans="1:14" ht="15.75" customHeight="1">
      <c r="A16" s="29"/>
      <c r="B16" s="29"/>
      <c r="C16" s="29"/>
      <c r="D16" s="29"/>
      <c r="E16" s="29"/>
      <c r="F16" s="29"/>
      <c r="G16" s="29"/>
      <c r="H16" s="29"/>
      <c r="I16" s="117"/>
      <c r="J16" s="118"/>
      <c r="K16" s="117"/>
      <c r="L16" s="118"/>
      <c r="M16" s="156"/>
      <c r="N16" s="118"/>
    </row>
    <row r="17" spans="1:14" ht="15.75" customHeight="1">
      <c r="A17" s="29"/>
      <c r="B17" s="29"/>
      <c r="C17" s="29"/>
      <c r="D17" s="29"/>
      <c r="E17" s="29"/>
      <c r="F17" s="29"/>
      <c r="G17" s="29"/>
      <c r="H17" s="29"/>
      <c r="I17" s="117"/>
      <c r="J17" s="118"/>
      <c r="K17" s="117"/>
      <c r="L17" s="118"/>
      <c r="M17" s="156"/>
      <c r="N17" s="118"/>
    </row>
    <row r="18" spans="1:14" ht="12.5">
      <c r="A18" s="29"/>
      <c r="B18" s="29"/>
      <c r="C18" s="29"/>
      <c r="D18" s="29"/>
      <c r="E18" s="29"/>
      <c r="F18" s="29"/>
      <c r="G18" s="29"/>
      <c r="H18" s="29"/>
      <c r="I18" s="117"/>
      <c r="J18" s="118"/>
      <c r="K18" s="117"/>
      <c r="L18" s="118"/>
      <c r="M18" s="156"/>
      <c r="N18" s="118"/>
    </row>
    <row r="19" spans="1:14" ht="12.5">
      <c r="A19" s="29"/>
      <c r="B19" s="29"/>
      <c r="C19" s="29"/>
      <c r="D19" s="29"/>
      <c r="E19" s="29"/>
      <c r="F19" s="29"/>
      <c r="G19" s="29"/>
      <c r="H19" s="29"/>
      <c r="I19" s="117"/>
      <c r="J19" s="118"/>
      <c r="K19" s="117"/>
      <c r="L19" s="118"/>
      <c r="M19" s="156"/>
      <c r="N19" s="118"/>
    </row>
    <row r="20" spans="1:14" ht="12.5">
      <c r="A20" s="29"/>
      <c r="B20" s="29"/>
      <c r="C20" s="29"/>
      <c r="D20" s="29"/>
      <c r="E20" s="29"/>
      <c r="F20" s="29"/>
      <c r="G20" s="29"/>
      <c r="H20" s="29"/>
      <c r="I20" s="117"/>
      <c r="J20" s="118"/>
      <c r="K20" s="117"/>
      <c r="L20" s="118"/>
      <c r="M20" s="156"/>
      <c r="N20" s="118"/>
    </row>
    <row r="21" spans="1:14" ht="12.5">
      <c r="A21" s="29"/>
      <c r="B21" s="29"/>
      <c r="C21" s="29"/>
      <c r="D21" s="29"/>
      <c r="E21" s="29"/>
      <c r="F21" s="29"/>
      <c r="G21" s="29"/>
      <c r="H21" s="29"/>
      <c r="I21" s="117"/>
      <c r="J21" s="118"/>
      <c r="K21" s="117"/>
      <c r="L21" s="118"/>
      <c r="M21" s="156"/>
      <c r="N21" s="118"/>
    </row>
    <row r="22" spans="1:14" ht="12.5">
      <c r="A22" s="29"/>
      <c r="B22" s="29"/>
      <c r="C22" s="29"/>
      <c r="D22" s="29"/>
      <c r="E22" s="29"/>
      <c r="F22" s="29"/>
      <c r="G22" s="29"/>
      <c r="H22" s="29"/>
      <c r="I22" s="117"/>
      <c r="J22" s="118"/>
      <c r="K22" s="117"/>
      <c r="L22" s="118"/>
      <c r="M22" s="156"/>
      <c r="N22" s="118"/>
    </row>
    <row r="23" spans="1:14" ht="12.5">
      <c r="A23" s="29"/>
      <c r="B23" s="29"/>
      <c r="C23" s="29"/>
      <c r="D23" s="29"/>
      <c r="E23" s="29"/>
      <c r="F23" s="29"/>
      <c r="G23" s="29"/>
      <c r="H23" s="29"/>
      <c r="I23" s="117"/>
      <c r="J23" s="118"/>
      <c r="K23" s="117"/>
      <c r="L23" s="118"/>
      <c r="M23" s="156"/>
      <c r="N23" s="118"/>
    </row>
    <row r="24" spans="1:14" ht="12.5">
      <c r="A24" s="29"/>
      <c r="B24" s="29"/>
      <c r="C24" s="29"/>
      <c r="D24" s="29"/>
      <c r="E24" s="29"/>
      <c r="F24" s="29"/>
      <c r="G24" s="29"/>
      <c r="H24" s="29"/>
      <c r="I24" s="117"/>
      <c r="J24" s="118"/>
      <c r="K24" s="117"/>
      <c r="L24" s="118"/>
      <c r="M24" s="156"/>
      <c r="N24" s="118"/>
    </row>
    <row r="25" spans="1:14" ht="12.5">
      <c r="A25" s="29"/>
      <c r="B25" s="29"/>
      <c r="C25" s="29"/>
      <c r="D25" s="29"/>
      <c r="E25" s="29"/>
      <c r="F25" s="29"/>
      <c r="G25" s="29"/>
      <c r="H25" s="29"/>
      <c r="I25" s="117"/>
      <c r="J25" s="118"/>
      <c r="K25" s="117"/>
      <c r="L25" s="118"/>
      <c r="M25" s="156"/>
      <c r="N25" s="118"/>
    </row>
    <row r="26" spans="1:14" ht="15.75" customHeight="1">
      <c r="I26" s="121"/>
      <c r="J26" s="121"/>
      <c r="K26" s="121"/>
      <c r="L26" s="121"/>
      <c r="M26" s="121"/>
      <c r="N26" s="121"/>
    </row>
    <row r="27" spans="1:14" ht="15.75" customHeight="1">
      <c r="I27" s="121"/>
      <c r="J27" s="121"/>
      <c r="K27" s="121"/>
      <c r="L27" s="121"/>
    </row>
    <row r="28" spans="1:14" ht="15.75" customHeight="1">
      <c r="I28" s="121"/>
      <c r="J28" s="121"/>
      <c r="K28" s="121"/>
      <c r="L28" s="121"/>
    </row>
  </sheetData>
  <mergeCells count="82">
    <mergeCell ref="M25:N25"/>
    <mergeCell ref="I26:J26"/>
    <mergeCell ref="K26:L26"/>
    <mergeCell ref="M26:N26"/>
    <mergeCell ref="K27:L27"/>
    <mergeCell ref="I27:J27"/>
    <mergeCell ref="I28:J28"/>
    <mergeCell ref="K28:L28"/>
    <mergeCell ref="I25:J25"/>
    <mergeCell ref="K25:L25"/>
    <mergeCell ref="K9:L9"/>
    <mergeCell ref="M9:N9"/>
    <mergeCell ref="I7:J7"/>
    <mergeCell ref="K7:L7"/>
    <mergeCell ref="M7:N7"/>
    <mergeCell ref="I8:J8"/>
    <mergeCell ref="K8:L8"/>
    <mergeCell ref="M8:N8"/>
    <mergeCell ref="I9:J9"/>
    <mergeCell ref="K6:L6"/>
    <mergeCell ref="M6:N6"/>
    <mergeCell ref="I4:J4"/>
    <mergeCell ref="K4:L4"/>
    <mergeCell ref="M4:N4"/>
    <mergeCell ref="I5:J5"/>
    <mergeCell ref="K5:L5"/>
    <mergeCell ref="M5:N5"/>
    <mergeCell ref="I6:J6"/>
    <mergeCell ref="K3:L3"/>
    <mergeCell ref="M3:N3"/>
    <mergeCell ref="I1:J1"/>
    <mergeCell ref="K1:L1"/>
    <mergeCell ref="M1:N1"/>
    <mergeCell ref="I2:J2"/>
    <mergeCell ref="K2:L2"/>
    <mergeCell ref="M2:N2"/>
    <mergeCell ref="I3:J3"/>
    <mergeCell ref="K24:L24"/>
    <mergeCell ref="M24:N24"/>
    <mergeCell ref="I22:J22"/>
    <mergeCell ref="K22:L22"/>
    <mergeCell ref="M22:N22"/>
    <mergeCell ref="I23:J23"/>
    <mergeCell ref="K23:L23"/>
    <mergeCell ref="M23:N23"/>
    <mergeCell ref="I24:J24"/>
    <mergeCell ref="K21:L21"/>
    <mergeCell ref="M21:N21"/>
    <mergeCell ref="I19:J19"/>
    <mergeCell ref="K19:L19"/>
    <mergeCell ref="M19:N19"/>
    <mergeCell ref="I20:J20"/>
    <mergeCell ref="K20:L20"/>
    <mergeCell ref="M20:N20"/>
    <mergeCell ref="I21:J21"/>
    <mergeCell ref="K18:L18"/>
    <mergeCell ref="M18:N18"/>
    <mergeCell ref="I16:J16"/>
    <mergeCell ref="K16:L16"/>
    <mergeCell ref="M16:N16"/>
    <mergeCell ref="I17:J17"/>
    <mergeCell ref="K17:L17"/>
    <mergeCell ref="M17:N17"/>
    <mergeCell ref="I18:J18"/>
    <mergeCell ref="K15:L15"/>
    <mergeCell ref="M15:N15"/>
    <mergeCell ref="I13:J13"/>
    <mergeCell ref="K13:L13"/>
    <mergeCell ref="M13:N13"/>
    <mergeCell ref="I14:J14"/>
    <mergeCell ref="K14:L14"/>
    <mergeCell ref="M14:N14"/>
    <mergeCell ref="I15:J15"/>
    <mergeCell ref="K12:L12"/>
    <mergeCell ref="M12:N12"/>
    <mergeCell ref="I10:J10"/>
    <mergeCell ref="K10:L10"/>
    <mergeCell ref="M10:N10"/>
    <mergeCell ref="I11:J11"/>
    <mergeCell ref="K11:L11"/>
    <mergeCell ref="M11:N11"/>
    <mergeCell ref="I12:J12"/>
  </mergeCells>
  <phoneticPr fontId="2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P99"/>
  <sheetViews>
    <sheetView workbookViewId="0"/>
  </sheetViews>
  <sheetFormatPr defaultColWidth="12.6328125" defaultRowHeight="15.75" customHeight="1"/>
  <sheetData>
    <row r="1" spans="1:16">
      <c r="A1" s="21" t="s">
        <v>109</v>
      </c>
      <c r="B1" s="21" t="s">
        <v>110</v>
      </c>
      <c r="C1" s="22" t="s">
        <v>111</v>
      </c>
      <c r="D1" s="21" t="s">
        <v>112</v>
      </c>
      <c r="E1" s="21" t="s">
        <v>114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21" t="s">
        <v>124</v>
      </c>
      <c r="L1" s="69"/>
      <c r="M1" s="69"/>
      <c r="N1" s="69"/>
      <c r="O1" s="69"/>
      <c r="P1" s="69"/>
    </row>
    <row r="2" spans="1:16">
      <c r="A2" s="51" t="s">
        <v>128</v>
      </c>
      <c r="B2" s="51" t="s">
        <v>26</v>
      </c>
      <c r="C2" s="83">
        <v>1</v>
      </c>
      <c r="D2" s="53">
        <v>29.4</v>
      </c>
      <c r="E2" s="53">
        <v>4700</v>
      </c>
      <c r="F2" s="53">
        <v>37.6</v>
      </c>
      <c r="G2" s="53">
        <v>28.89</v>
      </c>
      <c r="H2" s="53">
        <v>40.19</v>
      </c>
      <c r="I2" s="53">
        <v>42.26</v>
      </c>
      <c r="J2" s="53">
        <v>10.77</v>
      </c>
      <c r="K2" s="53">
        <v>97.57</v>
      </c>
      <c r="L2" s="69"/>
      <c r="M2" s="69"/>
      <c r="N2" s="69"/>
      <c r="O2" s="69"/>
      <c r="P2" s="69"/>
    </row>
    <row r="3" spans="1:16">
      <c r="A3" s="51"/>
      <c r="B3" s="51" t="s">
        <v>30</v>
      </c>
      <c r="C3" s="83">
        <v>1</v>
      </c>
      <c r="D3" s="53">
        <v>32.4</v>
      </c>
      <c r="E3" s="53">
        <v>18100</v>
      </c>
      <c r="F3" s="53">
        <v>14.5</v>
      </c>
      <c r="G3" s="53">
        <v>26.67</v>
      </c>
      <c r="H3" s="53">
        <v>16.399999999999999</v>
      </c>
      <c r="I3" s="53">
        <v>44.45</v>
      </c>
      <c r="J3" s="53">
        <v>16.11</v>
      </c>
      <c r="K3" s="53">
        <v>61.57</v>
      </c>
      <c r="L3" s="69"/>
      <c r="M3" s="69"/>
      <c r="N3" s="69"/>
      <c r="O3" s="69"/>
      <c r="P3" s="69"/>
    </row>
    <row r="4" spans="1:16">
      <c r="A4" s="51"/>
      <c r="B4" s="51" t="s">
        <v>28</v>
      </c>
      <c r="C4" s="83">
        <v>1</v>
      </c>
      <c r="D4" s="53" t="s">
        <v>132</v>
      </c>
      <c r="E4" s="53" t="s">
        <v>132</v>
      </c>
      <c r="F4" s="53" t="s">
        <v>132</v>
      </c>
      <c r="G4" s="53" t="s">
        <v>132</v>
      </c>
      <c r="H4" s="53" t="s">
        <v>132</v>
      </c>
      <c r="I4" s="53" t="s">
        <v>132</v>
      </c>
      <c r="J4" s="53" t="s">
        <v>132</v>
      </c>
      <c r="K4" s="53" t="s">
        <v>132</v>
      </c>
      <c r="L4" s="69"/>
      <c r="M4" s="69"/>
      <c r="N4" s="69"/>
      <c r="O4" s="69"/>
      <c r="P4" s="69"/>
    </row>
    <row r="5" spans="1:16">
      <c r="A5" s="51"/>
      <c r="B5" s="51" t="s">
        <v>26</v>
      </c>
      <c r="C5" s="83">
        <v>2</v>
      </c>
      <c r="D5" s="53" t="s">
        <v>132</v>
      </c>
      <c r="E5" s="53" t="s">
        <v>132</v>
      </c>
      <c r="F5" s="53" t="s">
        <v>132</v>
      </c>
      <c r="G5" s="53" t="s">
        <v>132</v>
      </c>
      <c r="H5" s="53" t="s">
        <v>132</v>
      </c>
      <c r="I5" s="53" t="s">
        <v>132</v>
      </c>
      <c r="J5" s="53" t="s">
        <v>132</v>
      </c>
      <c r="K5" s="53" t="s">
        <v>132</v>
      </c>
      <c r="L5" s="69"/>
      <c r="M5" s="69"/>
      <c r="N5" s="69"/>
      <c r="O5" s="69"/>
      <c r="P5" s="69"/>
    </row>
    <row r="6" spans="1:16">
      <c r="A6" s="51"/>
      <c r="B6" s="57" t="s">
        <v>19</v>
      </c>
      <c r="C6" s="83">
        <v>2</v>
      </c>
      <c r="D6" s="53">
        <v>33.4</v>
      </c>
      <c r="E6" s="53">
        <v>4380</v>
      </c>
      <c r="F6" s="53">
        <v>4.5</v>
      </c>
      <c r="G6" s="53">
        <v>13.57</v>
      </c>
      <c r="H6" s="53">
        <v>37.1</v>
      </c>
      <c r="I6" s="53">
        <v>21.51</v>
      </c>
      <c r="J6" s="53">
        <v>47.26</v>
      </c>
      <c r="K6" s="53">
        <v>14.7</v>
      </c>
      <c r="L6" s="69"/>
      <c r="M6" s="69"/>
      <c r="N6" s="69"/>
      <c r="O6" s="69"/>
      <c r="P6" s="69"/>
    </row>
    <row r="7" spans="1:16">
      <c r="A7" s="51"/>
      <c r="B7" s="51" t="s">
        <v>33</v>
      </c>
      <c r="C7" s="83">
        <v>2</v>
      </c>
      <c r="D7" s="53">
        <v>32.299999999999997</v>
      </c>
      <c r="E7" s="53">
        <v>15660</v>
      </c>
      <c r="F7" s="53">
        <v>91.5</v>
      </c>
      <c r="G7" s="53">
        <v>25.15</v>
      </c>
      <c r="H7" s="53">
        <v>36.32</v>
      </c>
      <c r="I7" s="53">
        <v>258</v>
      </c>
      <c r="J7" s="53">
        <v>36.81</v>
      </c>
      <c r="K7" s="53">
        <v>22.14</v>
      </c>
      <c r="L7" s="69"/>
      <c r="M7" s="69"/>
      <c r="N7" s="69"/>
      <c r="O7" s="69"/>
      <c r="P7" s="69"/>
    </row>
    <row r="8" spans="1:16">
      <c r="A8" s="51"/>
      <c r="B8" s="51" t="s">
        <v>37</v>
      </c>
      <c r="C8" s="83">
        <v>2</v>
      </c>
      <c r="D8" s="53">
        <v>30.2</v>
      </c>
      <c r="E8" s="53">
        <v>12270</v>
      </c>
      <c r="F8" s="53">
        <v>15.7</v>
      </c>
      <c r="G8" s="53">
        <v>47.83</v>
      </c>
      <c r="H8" s="53">
        <v>12.54</v>
      </c>
      <c r="I8" s="53">
        <v>29.85</v>
      </c>
      <c r="J8" s="53">
        <v>33.450000000000003</v>
      </c>
      <c r="K8" s="53">
        <v>21.88</v>
      </c>
      <c r="L8" s="69"/>
      <c r="M8" s="69"/>
      <c r="N8" s="69"/>
      <c r="O8" s="69"/>
      <c r="P8" s="69"/>
    </row>
    <row r="9" spans="1:16">
      <c r="A9" s="51"/>
      <c r="B9" s="51" t="s">
        <v>35</v>
      </c>
      <c r="C9" s="83">
        <v>2</v>
      </c>
      <c r="D9" s="53">
        <v>33.799999999999997</v>
      </c>
      <c r="E9" s="53">
        <v>14300</v>
      </c>
      <c r="F9" s="53">
        <v>10</v>
      </c>
      <c r="G9" s="53">
        <v>16.97</v>
      </c>
      <c r="H9" s="53">
        <v>50.88</v>
      </c>
      <c r="I9" s="53">
        <v>17.37</v>
      </c>
      <c r="J9" s="53">
        <v>16.079999999999998</v>
      </c>
      <c r="K9" s="53">
        <v>65.75</v>
      </c>
      <c r="L9" s="69"/>
      <c r="M9" s="69"/>
      <c r="N9" s="69"/>
      <c r="O9" s="69"/>
      <c r="P9" s="69"/>
    </row>
    <row r="10" spans="1:16">
      <c r="A10" s="51" t="s">
        <v>143</v>
      </c>
      <c r="B10" s="51" t="s">
        <v>35</v>
      </c>
      <c r="C10" s="83">
        <v>2</v>
      </c>
      <c r="D10" s="53" t="s">
        <v>132</v>
      </c>
      <c r="E10" s="53">
        <v>20000</v>
      </c>
      <c r="F10" s="53" t="s">
        <v>132</v>
      </c>
      <c r="G10" s="53" t="s">
        <v>132</v>
      </c>
      <c r="H10" s="53" t="s">
        <v>132</v>
      </c>
      <c r="I10" s="53" t="s">
        <v>132</v>
      </c>
      <c r="J10" s="53" t="s">
        <v>132</v>
      </c>
      <c r="K10" s="53" t="s">
        <v>132</v>
      </c>
      <c r="L10" s="69"/>
      <c r="M10" s="69"/>
      <c r="N10" s="69"/>
      <c r="O10" s="69"/>
      <c r="P10" s="69"/>
    </row>
    <row r="11" spans="1:16">
      <c r="A11" s="51"/>
      <c r="B11" s="51" t="s">
        <v>33</v>
      </c>
      <c r="C11" s="83">
        <v>3</v>
      </c>
      <c r="D11" s="53">
        <v>28.2</v>
      </c>
      <c r="E11" s="53">
        <v>2360</v>
      </c>
      <c r="F11" s="53">
        <v>50.7</v>
      </c>
      <c r="G11" s="53">
        <v>51.14</v>
      </c>
      <c r="H11" s="53">
        <v>240</v>
      </c>
      <c r="I11" s="53">
        <v>218</v>
      </c>
      <c r="J11" s="53">
        <v>19.72</v>
      </c>
      <c r="K11" s="53">
        <v>17.52</v>
      </c>
      <c r="L11" s="69"/>
      <c r="M11" s="69"/>
      <c r="N11" s="69"/>
      <c r="O11" s="69"/>
      <c r="P11" s="69"/>
    </row>
    <row r="12" spans="1:16">
      <c r="A12" s="51"/>
      <c r="B12" s="51" t="s">
        <v>19</v>
      </c>
      <c r="C12" s="83">
        <v>3</v>
      </c>
      <c r="D12" s="53" t="s">
        <v>132</v>
      </c>
      <c r="E12" s="53" t="s">
        <v>132</v>
      </c>
      <c r="F12" s="53" t="s">
        <v>132</v>
      </c>
      <c r="G12" s="53" t="s">
        <v>132</v>
      </c>
      <c r="H12" s="53" t="s">
        <v>132</v>
      </c>
      <c r="I12" s="53" t="s">
        <v>132</v>
      </c>
      <c r="J12" s="53" t="s">
        <v>132</v>
      </c>
      <c r="K12" s="53" t="s">
        <v>132</v>
      </c>
      <c r="L12" s="69"/>
      <c r="M12" s="69"/>
      <c r="N12" s="69"/>
      <c r="O12" s="69"/>
      <c r="P12" s="69"/>
    </row>
    <row r="13" spans="1:16">
      <c r="A13" s="51"/>
      <c r="B13" s="51" t="s">
        <v>37</v>
      </c>
      <c r="C13" s="83">
        <v>3</v>
      </c>
      <c r="D13" s="53" t="s">
        <v>132</v>
      </c>
      <c r="E13" s="53" t="s">
        <v>132</v>
      </c>
      <c r="F13" s="53" t="s">
        <v>132</v>
      </c>
      <c r="G13" s="53" t="s">
        <v>132</v>
      </c>
      <c r="H13" s="53" t="s">
        <v>132</v>
      </c>
      <c r="I13" s="53" t="s">
        <v>132</v>
      </c>
      <c r="J13" s="53" t="s">
        <v>132</v>
      </c>
      <c r="K13" s="53" t="s">
        <v>132</v>
      </c>
      <c r="L13" s="69"/>
      <c r="M13" s="69"/>
      <c r="N13" s="69"/>
      <c r="O13" s="69"/>
      <c r="P13" s="69"/>
    </row>
    <row r="14" spans="1:16">
      <c r="A14" s="51"/>
      <c r="B14" s="51" t="s">
        <v>30</v>
      </c>
      <c r="C14" s="83">
        <v>3</v>
      </c>
      <c r="D14" s="53" t="s">
        <v>132</v>
      </c>
      <c r="E14" s="53" t="s">
        <v>132</v>
      </c>
      <c r="F14" s="53" t="s">
        <v>132</v>
      </c>
      <c r="G14" s="53" t="s">
        <v>132</v>
      </c>
      <c r="H14" s="53" t="s">
        <v>132</v>
      </c>
      <c r="I14" s="53" t="s">
        <v>132</v>
      </c>
      <c r="J14" s="53" t="s">
        <v>132</v>
      </c>
      <c r="K14" s="53" t="s">
        <v>132</v>
      </c>
      <c r="L14" s="69"/>
      <c r="M14" s="69"/>
      <c r="N14" s="69"/>
      <c r="O14" s="69"/>
      <c r="P14" s="69"/>
    </row>
    <row r="15" spans="1:16">
      <c r="A15" s="51" t="s">
        <v>148</v>
      </c>
      <c r="B15" s="51" t="s">
        <v>33</v>
      </c>
      <c r="C15" s="55">
        <v>4</v>
      </c>
      <c r="D15" s="53">
        <v>29.6</v>
      </c>
      <c r="E15" s="53">
        <v>0</v>
      </c>
      <c r="F15" s="53">
        <v>50.8</v>
      </c>
      <c r="G15" s="53">
        <v>12.65</v>
      </c>
      <c r="H15" s="53">
        <v>110.61</v>
      </c>
      <c r="I15" s="53">
        <v>6.18</v>
      </c>
      <c r="J15" s="53">
        <v>0</v>
      </c>
      <c r="K15" s="53">
        <v>69.67</v>
      </c>
      <c r="L15" s="69"/>
      <c r="M15" s="69"/>
      <c r="N15" s="69"/>
      <c r="O15" s="69"/>
      <c r="P15" s="69"/>
    </row>
    <row r="16" spans="1:16">
      <c r="A16" s="51" t="s">
        <v>151</v>
      </c>
      <c r="B16" s="51" t="s">
        <v>33</v>
      </c>
      <c r="C16" s="55">
        <v>3</v>
      </c>
      <c r="D16" s="53">
        <v>26.1</v>
      </c>
      <c r="E16" s="53">
        <v>4220</v>
      </c>
      <c r="F16" s="53">
        <v>43.3</v>
      </c>
      <c r="G16" s="53">
        <v>149.16</v>
      </c>
      <c r="H16" s="53">
        <v>23.83</v>
      </c>
      <c r="I16" s="53">
        <v>43.84</v>
      </c>
      <c r="J16" s="53">
        <v>110.65</v>
      </c>
      <c r="K16" s="53">
        <v>23.04</v>
      </c>
      <c r="L16" s="69"/>
      <c r="M16" s="69"/>
      <c r="N16" s="69"/>
      <c r="O16" s="69"/>
      <c r="P16" s="69"/>
    </row>
    <row r="17" spans="1:16">
      <c r="A17" s="51" t="s">
        <v>154</v>
      </c>
      <c r="B17" s="51" t="s">
        <v>33</v>
      </c>
      <c r="C17" s="55">
        <v>4</v>
      </c>
      <c r="D17" s="53">
        <v>25.4</v>
      </c>
      <c r="E17" s="53">
        <v>0</v>
      </c>
      <c r="F17" s="53">
        <v>62.8</v>
      </c>
      <c r="G17" s="53">
        <v>42.08</v>
      </c>
      <c r="H17" s="53">
        <v>194</v>
      </c>
      <c r="I17" s="53">
        <v>30.67</v>
      </c>
      <c r="J17" s="53" t="s">
        <v>155</v>
      </c>
      <c r="K17" s="53">
        <v>243</v>
      </c>
      <c r="L17" s="69"/>
      <c r="M17" s="69"/>
      <c r="N17" s="69"/>
      <c r="O17" s="69"/>
      <c r="P17" s="69"/>
    </row>
    <row r="18" spans="1:16">
      <c r="A18" s="51" t="s">
        <v>156</v>
      </c>
      <c r="B18" s="51" t="s">
        <v>33</v>
      </c>
      <c r="C18" s="55">
        <v>1</v>
      </c>
      <c r="D18" s="53">
        <v>26.3</v>
      </c>
      <c r="E18" s="53">
        <v>13130</v>
      </c>
      <c r="F18" s="53">
        <v>49.9</v>
      </c>
      <c r="G18" s="53">
        <v>42.14</v>
      </c>
      <c r="H18" s="53">
        <v>84.99</v>
      </c>
      <c r="I18" s="53">
        <v>35.200000000000003</v>
      </c>
      <c r="J18" s="53">
        <v>13.14</v>
      </c>
      <c r="K18" s="53">
        <v>25.19</v>
      </c>
      <c r="L18" s="69"/>
      <c r="M18" s="69"/>
      <c r="N18" s="69"/>
      <c r="O18" s="69"/>
      <c r="P18" s="69"/>
    </row>
    <row r="19" spans="1:16">
      <c r="A19" s="51" t="s">
        <v>158</v>
      </c>
      <c r="B19" s="60" t="s">
        <v>33</v>
      </c>
      <c r="C19" s="55">
        <v>3</v>
      </c>
      <c r="D19" s="53">
        <v>29.7</v>
      </c>
      <c r="E19" s="53">
        <v>1955</v>
      </c>
      <c r="F19" s="53">
        <v>86.3</v>
      </c>
      <c r="G19" s="53">
        <v>183.25</v>
      </c>
      <c r="H19" s="53">
        <v>84.3</v>
      </c>
      <c r="I19" s="53">
        <v>120</v>
      </c>
      <c r="J19" s="53">
        <v>174</v>
      </c>
      <c r="K19" s="53" t="s">
        <v>155</v>
      </c>
      <c r="L19" s="69"/>
      <c r="M19" s="69"/>
      <c r="N19" s="69"/>
      <c r="O19" s="69"/>
      <c r="P19" s="69"/>
    </row>
    <row r="20" spans="1:16">
      <c r="A20" s="51" t="s">
        <v>162</v>
      </c>
      <c r="B20" s="51" t="s">
        <v>33</v>
      </c>
      <c r="C20" s="83">
        <v>4</v>
      </c>
      <c r="D20" s="53">
        <v>25.3</v>
      </c>
      <c r="E20" s="53">
        <v>0</v>
      </c>
      <c r="F20" s="53">
        <v>70.8</v>
      </c>
      <c r="G20" s="53">
        <v>19.79</v>
      </c>
      <c r="H20" s="53">
        <v>245</v>
      </c>
      <c r="I20" s="53">
        <v>12.29</v>
      </c>
      <c r="J20" s="53">
        <v>226</v>
      </c>
      <c r="K20" s="53">
        <v>341</v>
      </c>
      <c r="L20" s="69"/>
      <c r="M20" s="69"/>
      <c r="N20" s="69"/>
      <c r="O20" s="69"/>
      <c r="P20" s="69"/>
    </row>
    <row r="21" spans="1:16">
      <c r="A21" s="51" t="s">
        <v>163</v>
      </c>
      <c r="B21" s="51" t="s">
        <v>39</v>
      </c>
      <c r="C21" s="83">
        <v>2</v>
      </c>
      <c r="D21" s="53">
        <v>31.2</v>
      </c>
      <c r="E21" s="53">
        <v>12910</v>
      </c>
      <c r="F21" s="53">
        <v>27</v>
      </c>
      <c r="G21" s="53">
        <v>12.49</v>
      </c>
      <c r="H21" s="53">
        <v>142</v>
      </c>
      <c r="I21" s="53">
        <v>380</v>
      </c>
      <c r="J21" s="53">
        <v>68.33</v>
      </c>
      <c r="K21" s="53">
        <v>228</v>
      </c>
      <c r="L21" s="69"/>
      <c r="M21" s="69"/>
      <c r="N21" s="69"/>
      <c r="O21" s="69"/>
      <c r="P21" s="69"/>
    </row>
    <row r="22" spans="1:16">
      <c r="A22" s="51" t="s">
        <v>165</v>
      </c>
      <c r="B22" s="51" t="s">
        <v>44</v>
      </c>
      <c r="C22" s="83">
        <v>2</v>
      </c>
      <c r="D22" s="53">
        <v>31.3</v>
      </c>
      <c r="E22" s="53">
        <v>13360</v>
      </c>
      <c r="F22" s="53">
        <v>45.6</v>
      </c>
      <c r="G22" s="53">
        <v>46.51</v>
      </c>
      <c r="H22" s="53">
        <v>26.96</v>
      </c>
      <c r="I22" s="53">
        <v>27.09</v>
      </c>
      <c r="J22" s="53">
        <v>50.93</v>
      </c>
      <c r="K22" s="53">
        <v>49.3</v>
      </c>
      <c r="L22" s="69"/>
      <c r="M22" s="69"/>
      <c r="N22" s="69"/>
      <c r="O22" s="69"/>
      <c r="P22" s="69"/>
    </row>
    <row r="23" spans="1:16">
      <c r="A23" s="51"/>
      <c r="B23" s="51" t="s">
        <v>33</v>
      </c>
      <c r="C23" s="83">
        <v>2</v>
      </c>
      <c r="D23" s="53">
        <v>31.1</v>
      </c>
      <c r="E23" s="53">
        <v>8080</v>
      </c>
      <c r="F23" s="53">
        <v>123.7</v>
      </c>
      <c r="G23" s="53">
        <v>60.87</v>
      </c>
      <c r="H23" s="53">
        <v>15.59</v>
      </c>
      <c r="I23" s="53">
        <v>19.03</v>
      </c>
      <c r="J23" s="53">
        <v>25.48</v>
      </c>
      <c r="K23" s="53">
        <v>54.14</v>
      </c>
      <c r="L23" s="69"/>
      <c r="M23" s="69"/>
      <c r="N23" s="69"/>
      <c r="O23" s="69"/>
      <c r="P23" s="69"/>
    </row>
    <row r="24" spans="1:16">
      <c r="A24" s="51"/>
      <c r="B24" s="51" t="s">
        <v>23</v>
      </c>
      <c r="C24" s="55" t="s">
        <v>132</v>
      </c>
      <c r="D24" s="53" t="s">
        <v>132</v>
      </c>
      <c r="E24" s="53" t="s">
        <v>132</v>
      </c>
      <c r="F24" s="53" t="s">
        <v>132</v>
      </c>
      <c r="G24" s="53" t="s">
        <v>132</v>
      </c>
      <c r="H24" s="53" t="s">
        <v>132</v>
      </c>
      <c r="I24" s="53" t="s">
        <v>132</v>
      </c>
      <c r="J24" s="53" t="s">
        <v>132</v>
      </c>
      <c r="K24" s="53" t="s">
        <v>132</v>
      </c>
      <c r="L24" s="69"/>
      <c r="M24" s="69"/>
      <c r="N24" s="69"/>
      <c r="O24" s="69"/>
      <c r="P24" s="69"/>
    </row>
    <row r="25" spans="1:16">
      <c r="A25" s="51"/>
      <c r="B25" s="51" t="s">
        <v>42</v>
      </c>
      <c r="C25" s="83">
        <v>2</v>
      </c>
      <c r="D25" s="53">
        <v>30.7</v>
      </c>
      <c r="E25" s="53">
        <v>5591</v>
      </c>
      <c r="F25" s="53">
        <v>26.8</v>
      </c>
      <c r="G25" s="53">
        <v>6.33</v>
      </c>
      <c r="H25" s="53">
        <v>23.61</v>
      </c>
      <c r="I25" s="53">
        <v>5.57</v>
      </c>
      <c r="J25" s="53">
        <v>61.2</v>
      </c>
      <c r="K25" s="53">
        <v>52.13</v>
      </c>
      <c r="L25" s="69"/>
      <c r="M25" s="69"/>
      <c r="N25" s="69"/>
      <c r="O25" s="69"/>
      <c r="P25" s="69"/>
    </row>
    <row r="26" spans="1:16">
      <c r="A26" s="51"/>
      <c r="B26" s="51" t="s">
        <v>48</v>
      </c>
      <c r="C26" s="83">
        <v>3</v>
      </c>
      <c r="D26" s="53"/>
      <c r="E26" s="53" t="s">
        <v>132</v>
      </c>
      <c r="F26" s="53"/>
      <c r="G26" s="53"/>
      <c r="H26" s="53"/>
      <c r="I26" s="53"/>
      <c r="J26" s="53"/>
      <c r="K26" s="53"/>
      <c r="L26" s="69"/>
      <c r="M26" s="69"/>
      <c r="N26" s="69"/>
      <c r="O26" s="69"/>
      <c r="P26" s="69"/>
    </row>
    <row r="27" spans="1:16">
      <c r="A27" s="51"/>
      <c r="B27" s="51" t="s">
        <v>46</v>
      </c>
      <c r="C27" s="83">
        <v>3</v>
      </c>
      <c r="D27" s="53">
        <v>30.5</v>
      </c>
      <c r="E27" s="53">
        <v>1168</v>
      </c>
      <c r="F27" s="53">
        <v>59.1</v>
      </c>
      <c r="G27" s="53">
        <v>28.39</v>
      </c>
      <c r="H27" s="53">
        <v>97.15</v>
      </c>
      <c r="I27" s="53">
        <v>314</v>
      </c>
      <c r="J27" s="53">
        <v>59.41</v>
      </c>
      <c r="K27" s="53">
        <v>57.7</v>
      </c>
      <c r="L27" s="69"/>
      <c r="M27" s="69"/>
      <c r="N27" s="69"/>
      <c r="O27" s="69"/>
      <c r="P27" s="69"/>
    </row>
    <row r="28" spans="1:16">
      <c r="A28" s="65" t="s">
        <v>167</v>
      </c>
      <c r="B28" s="65" t="s">
        <v>46</v>
      </c>
      <c r="C28" s="83">
        <v>4</v>
      </c>
      <c r="D28" s="53">
        <v>25.4</v>
      </c>
      <c r="E28" s="53">
        <v>0</v>
      </c>
      <c r="F28" s="53">
        <v>754.3</v>
      </c>
      <c r="G28" s="53">
        <v>30.48</v>
      </c>
      <c r="H28" s="53">
        <v>348</v>
      </c>
      <c r="I28" s="53">
        <v>83.01</v>
      </c>
      <c r="J28" s="53">
        <v>31.49</v>
      </c>
      <c r="K28" s="53">
        <v>443</v>
      </c>
      <c r="L28" s="69"/>
      <c r="M28" s="69"/>
      <c r="N28" s="69"/>
      <c r="O28" s="69"/>
      <c r="P28" s="69"/>
    </row>
    <row r="29" spans="1:16">
      <c r="A29" s="51"/>
      <c r="B29" s="65" t="s">
        <v>39</v>
      </c>
      <c r="C29" s="83">
        <v>4</v>
      </c>
      <c r="D29" s="53">
        <v>26.3</v>
      </c>
      <c r="E29" s="53">
        <v>0</v>
      </c>
      <c r="F29" s="53">
        <v>76.900000000000006</v>
      </c>
      <c r="G29" s="53">
        <v>18.829999999999998</v>
      </c>
      <c r="H29" s="53">
        <v>960</v>
      </c>
      <c r="I29" s="53">
        <v>33.17</v>
      </c>
      <c r="J29" s="53">
        <v>66.290000000000006</v>
      </c>
      <c r="K29" s="53">
        <v>200</v>
      </c>
      <c r="L29" s="69"/>
      <c r="M29" s="69"/>
      <c r="N29" s="69"/>
      <c r="O29" s="69"/>
      <c r="P29" s="69"/>
    </row>
    <row r="30" spans="1:16">
      <c r="A30" s="51"/>
      <c r="B30" s="65" t="s">
        <v>42</v>
      </c>
      <c r="C30" s="83">
        <v>4</v>
      </c>
      <c r="D30" s="53">
        <v>26.5</v>
      </c>
      <c r="E30" s="53">
        <v>0</v>
      </c>
      <c r="F30" s="53">
        <v>78.7</v>
      </c>
      <c r="G30" s="53">
        <v>45.7</v>
      </c>
      <c r="H30" s="53">
        <v>24.14</v>
      </c>
      <c r="I30" s="53">
        <v>56.96</v>
      </c>
      <c r="J30" s="53">
        <v>35.340000000000003</v>
      </c>
      <c r="K30" s="53">
        <v>29.2</v>
      </c>
      <c r="L30" s="69"/>
      <c r="M30" s="69"/>
      <c r="N30" s="69"/>
      <c r="O30" s="69"/>
      <c r="P30" s="69"/>
    </row>
    <row r="31" spans="1:16">
      <c r="A31" s="51"/>
      <c r="B31" s="65" t="s">
        <v>33</v>
      </c>
      <c r="C31" s="83">
        <v>4</v>
      </c>
      <c r="D31" s="53">
        <v>26.6</v>
      </c>
      <c r="E31" s="53">
        <v>0</v>
      </c>
      <c r="F31" s="53">
        <v>157.5</v>
      </c>
      <c r="G31" s="53">
        <v>24.37</v>
      </c>
      <c r="H31" s="53" t="s">
        <v>155</v>
      </c>
      <c r="I31" s="53">
        <v>208</v>
      </c>
      <c r="J31" s="53">
        <v>22.98</v>
      </c>
      <c r="K31" s="53">
        <v>423</v>
      </c>
      <c r="L31" s="69"/>
      <c r="M31" s="69"/>
      <c r="N31" s="69"/>
      <c r="O31" s="69"/>
      <c r="P31" s="69"/>
    </row>
    <row r="32" spans="1:16">
      <c r="B32" s="65" t="s">
        <v>44</v>
      </c>
      <c r="C32" s="83">
        <v>4</v>
      </c>
      <c r="D32" s="53">
        <v>26.6</v>
      </c>
      <c r="E32" s="53">
        <v>0</v>
      </c>
      <c r="F32" s="53">
        <v>133.19999999999999</v>
      </c>
      <c r="G32" s="53">
        <v>19.170000000000002</v>
      </c>
      <c r="H32" s="53" t="s">
        <v>155</v>
      </c>
      <c r="I32" s="53">
        <v>141.33000000000001</v>
      </c>
      <c r="J32" s="53">
        <v>132.5</v>
      </c>
      <c r="K32" s="53">
        <v>490</v>
      </c>
      <c r="L32" s="69"/>
      <c r="M32" s="69"/>
      <c r="N32" s="69"/>
      <c r="O32" s="69"/>
      <c r="P32" s="69"/>
    </row>
    <row r="33" spans="1:16">
      <c r="A33" s="65" t="s">
        <v>168</v>
      </c>
      <c r="B33" s="65" t="s">
        <v>42</v>
      </c>
      <c r="C33" s="83">
        <v>1</v>
      </c>
      <c r="D33" s="53">
        <v>26.4</v>
      </c>
      <c r="E33" s="53">
        <v>16400</v>
      </c>
      <c r="F33" s="53">
        <v>51.7</v>
      </c>
      <c r="G33" s="53">
        <v>35.51</v>
      </c>
      <c r="H33" s="53">
        <v>64.150000000000006</v>
      </c>
      <c r="I33" s="53">
        <v>73.33</v>
      </c>
      <c r="J33" s="53">
        <v>14.71</v>
      </c>
      <c r="K33" s="53">
        <v>8.34</v>
      </c>
      <c r="L33" s="69"/>
      <c r="M33" s="69"/>
      <c r="N33" s="69"/>
      <c r="O33" s="69"/>
      <c r="P33" s="69"/>
    </row>
    <row r="34" spans="1:16">
      <c r="A34" s="51"/>
      <c r="B34" s="65" t="s">
        <v>44</v>
      </c>
      <c r="C34" s="83">
        <v>1</v>
      </c>
      <c r="D34" s="53">
        <v>30.7</v>
      </c>
      <c r="E34" s="53">
        <v>18660</v>
      </c>
      <c r="F34" s="53">
        <v>34.4</v>
      </c>
      <c r="G34" s="53">
        <v>33.299999999999997</v>
      </c>
      <c r="H34" s="53">
        <v>46.46</v>
      </c>
      <c r="I34" s="53">
        <v>69.56</v>
      </c>
      <c r="J34" s="53">
        <v>49.57</v>
      </c>
      <c r="K34" s="53">
        <v>29.14</v>
      </c>
      <c r="L34" s="69"/>
      <c r="M34" s="69"/>
      <c r="N34" s="69"/>
      <c r="O34" s="69"/>
      <c r="P34" s="69"/>
    </row>
    <row r="35" spans="1:16">
      <c r="A35" s="51"/>
      <c r="B35" s="65" t="s">
        <v>33</v>
      </c>
      <c r="C35" s="83">
        <v>1</v>
      </c>
      <c r="D35" s="53">
        <v>31.3</v>
      </c>
      <c r="E35" s="53" t="s">
        <v>132</v>
      </c>
      <c r="F35" s="53">
        <v>126.6</v>
      </c>
      <c r="G35" s="53">
        <v>17.260000000000002</v>
      </c>
      <c r="H35" s="53">
        <v>86.56</v>
      </c>
      <c r="I35" s="53">
        <v>5.63</v>
      </c>
      <c r="J35" s="53">
        <v>192</v>
      </c>
      <c r="K35" s="53">
        <v>292</v>
      </c>
      <c r="L35" s="69"/>
      <c r="M35" s="69"/>
      <c r="N35" s="69"/>
      <c r="O35" s="69"/>
      <c r="P35" s="69"/>
    </row>
    <row r="36" spans="1:16">
      <c r="A36" s="51"/>
      <c r="B36" s="65" t="s">
        <v>39</v>
      </c>
      <c r="C36" s="55">
        <v>1</v>
      </c>
      <c r="D36" s="53">
        <v>33</v>
      </c>
      <c r="E36" s="53">
        <v>4790</v>
      </c>
      <c r="F36" s="53">
        <v>28</v>
      </c>
      <c r="G36" s="53">
        <v>35.57</v>
      </c>
      <c r="H36" s="53">
        <v>38.71</v>
      </c>
      <c r="I36" s="53">
        <v>111.02</v>
      </c>
      <c r="J36" s="53">
        <v>78.03</v>
      </c>
      <c r="K36" s="53">
        <v>115.57</v>
      </c>
      <c r="L36" s="69"/>
      <c r="M36" s="69"/>
      <c r="N36" s="69"/>
      <c r="O36" s="69"/>
      <c r="P36" s="69"/>
    </row>
    <row r="37" spans="1:16">
      <c r="A37" s="51"/>
      <c r="B37" s="65" t="s">
        <v>46</v>
      </c>
      <c r="C37" s="55">
        <v>1</v>
      </c>
      <c r="D37" s="53">
        <v>36</v>
      </c>
      <c r="E37" s="53">
        <v>809</v>
      </c>
      <c r="F37" s="53">
        <v>67.7</v>
      </c>
      <c r="G37" s="53">
        <v>12.52</v>
      </c>
      <c r="H37" s="53">
        <v>111.98</v>
      </c>
      <c r="I37" s="53">
        <v>21.96</v>
      </c>
      <c r="J37" s="53">
        <v>81.62</v>
      </c>
      <c r="K37" s="53">
        <v>65.89</v>
      </c>
      <c r="L37" s="69"/>
      <c r="M37" s="69"/>
      <c r="N37" s="69"/>
      <c r="O37" s="69"/>
      <c r="P37" s="69"/>
    </row>
    <row r="38" spans="1:16">
      <c r="A38" s="65" t="s">
        <v>182</v>
      </c>
      <c r="B38" s="65" t="s">
        <v>39</v>
      </c>
      <c r="C38" s="55">
        <v>2</v>
      </c>
      <c r="D38" s="53">
        <v>33.700000000000003</v>
      </c>
      <c r="E38" s="53">
        <v>8930</v>
      </c>
      <c r="F38" s="53">
        <v>27.4</v>
      </c>
      <c r="G38" s="53">
        <v>27.94</v>
      </c>
      <c r="H38" s="53">
        <v>34.49</v>
      </c>
      <c r="I38" s="53">
        <v>10.4</v>
      </c>
      <c r="J38" s="53">
        <v>15.43</v>
      </c>
      <c r="K38" s="53">
        <v>31.49</v>
      </c>
      <c r="L38" s="69"/>
      <c r="M38" s="69"/>
      <c r="N38" s="69"/>
      <c r="O38" s="69"/>
      <c r="P38" s="69"/>
    </row>
    <row r="39" spans="1:16">
      <c r="A39" s="51"/>
      <c r="B39" s="65" t="s">
        <v>46</v>
      </c>
      <c r="C39" s="55">
        <v>2</v>
      </c>
      <c r="D39" s="53">
        <v>36</v>
      </c>
      <c r="E39" s="53">
        <v>889</v>
      </c>
      <c r="F39" s="53">
        <v>0</v>
      </c>
      <c r="G39" s="53" t="s">
        <v>72</v>
      </c>
      <c r="H39" s="53" t="s">
        <v>72</v>
      </c>
      <c r="I39" s="53" t="s">
        <v>72</v>
      </c>
      <c r="J39" s="53" t="s">
        <v>72</v>
      </c>
      <c r="K39" s="53" t="s">
        <v>72</v>
      </c>
      <c r="L39" s="69"/>
      <c r="M39" s="69"/>
      <c r="N39" s="69"/>
      <c r="O39" s="69"/>
      <c r="P39" s="69"/>
    </row>
    <row r="40" spans="1:16">
      <c r="A40" s="51"/>
      <c r="B40" s="65" t="s">
        <v>42</v>
      </c>
      <c r="C40" s="55">
        <v>2</v>
      </c>
      <c r="D40" s="53">
        <v>37.5</v>
      </c>
      <c r="E40" s="53">
        <v>10070</v>
      </c>
      <c r="F40" s="53">
        <v>51</v>
      </c>
      <c r="G40" s="53">
        <v>21.07</v>
      </c>
      <c r="H40" s="53">
        <v>9.48</v>
      </c>
      <c r="I40" s="53">
        <v>31.02</v>
      </c>
      <c r="J40" s="53">
        <v>19</v>
      </c>
      <c r="K40" s="53">
        <v>55.78</v>
      </c>
      <c r="L40" s="69"/>
      <c r="M40" s="69"/>
      <c r="N40" s="69"/>
      <c r="O40" s="69"/>
      <c r="P40" s="69"/>
    </row>
    <row r="41" spans="1:16">
      <c r="A41" s="51"/>
      <c r="B41" s="65" t="s">
        <v>44</v>
      </c>
      <c r="C41" s="55">
        <v>2</v>
      </c>
      <c r="D41" s="53">
        <v>37.799999999999997</v>
      </c>
      <c r="E41" s="53">
        <v>2340</v>
      </c>
      <c r="F41" s="53">
        <v>49.8</v>
      </c>
      <c r="G41" s="53">
        <v>4.8499999999999996</v>
      </c>
      <c r="H41" s="53">
        <v>16.899999999999999</v>
      </c>
      <c r="I41" s="53">
        <v>14.15</v>
      </c>
      <c r="J41" s="53">
        <v>4.8899999999999997</v>
      </c>
      <c r="K41" s="53">
        <v>69.23</v>
      </c>
      <c r="L41" s="69"/>
      <c r="M41" s="69"/>
      <c r="N41" s="69"/>
      <c r="O41" s="69"/>
      <c r="P41" s="69"/>
    </row>
    <row r="42" spans="1:16">
      <c r="A42" s="51" t="s">
        <v>165</v>
      </c>
      <c r="B42" s="65" t="s">
        <v>33</v>
      </c>
      <c r="C42" s="83">
        <v>2</v>
      </c>
      <c r="D42" s="53">
        <v>36.799999999999997</v>
      </c>
      <c r="E42" s="53">
        <v>7880</v>
      </c>
      <c r="F42" s="53">
        <v>32.200000000000003</v>
      </c>
      <c r="G42" s="53">
        <v>17.13</v>
      </c>
      <c r="H42" s="53">
        <v>29.32</v>
      </c>
      <c r="I42" s="53">
        <v>81.81</v>
      </c>
      <c r="J42" s="53">
        <v>22.97</v>
      </c>
      <c r="K42" s="53">
        <v>18.170000000000002</v>
      </c>
      <c r="L42" s="69"/>
      <c r="M42" s="69"/>
      <c r="N42" s="69"/>
      <c r="O42" s="69"/>
      <c r="P42" s="69"/>
    </row>
    <row r="43" spans="1:16">
      <c r="A43" s="65" t="s">
        <v>188</v>
      </c>
      <c r="B43" s="65" t="s">
        <v>42</v>
      </c>
      <c r="C43" s="83">
        <v>4</v>
      </c>
      <c r="D43" s="53">
        <v>25.3</v>
      </c>
      <c r="E43" s="53">
        <v>0</v>
      </c>
      <c r="F43" s="53">
        <v>60.6</v>
      </c>
      <c r="G43" s="53">
        <v>20.28</v>
      </c>
      <c r="H43" s="53">
        <v>78.319999999999993</v>
      </c>
      <c r="I43" s="53">
        <v>48.65</v>
      </c>
      <c r="J43" s="53">
        <v>177.35</v>
      </c>
      <c r="K43" s="53">
        <v>118.68</v>
      </c>
      <c r="L43" s="69"/>
      <c r="M43" s="69"/>
      <c r="N43" s="69"/>
      <c r="O43" s="69"/>
      <c r="P43" s="69"/>
    </row>
    <row r="44" spans="1:16">
      <c r="A44" s="51"/>
      <c r="B44" s="65" t="s">
        <v>33</v>
      </c>
      <c r="C44" s="83">
        <v>4</v>
      </c>
      <c r="D44" s="53">
        <v>25.3</v>
      </c>
      <c r="E44" s="53">
        <v>0</v>
      </c>
      <c r="F44" s="53">
        <v>78.900000000000006</v>
      </c>
      <c r="G44" s="53">
        <v>23.7</v>
      </c>
      <c r="H44" s="53">
        <v>91.69</v>
      </c>
      <c r="I44" s="53">
        <v>564</v>
      </c>
      <c r="J44" s="53" t="s">
        <v>155</v>
      </c>
      <c r="K44" s="53" t="s">
        <v>155</v>
      </c>
      <c r="L44" s="69"/>
      <c r="M44" s="69"/>
      <c r="N44" s="69"/>
      <c r="O44" s="69"/>
      <c r="P44" s="69"/>
    </row>
    <row r="45" spans="1:16">
      <c r="A45" s="51" t="s">
        <v>165</v>
      </c>
      <c r="B45" s="65" t="s">
        <v>44</v>
      </c>
      <c r="C45" s="83">
        <v>4</v>
      </c>
      <c r="D45" s="53">
        <v>25.5</v>
      </c>
      <c r="E45" s="53">
        <v>0</v>
      </c>
      <c r="F45" s="53">
        <v>91.4</v>
      </c>
      <c r="G45" s="53">
        <v>14.27</v>
      </c>
      <c r="H45" s="53">
        <v>825</v>
      </c>
      <c r="I45" s="53">
        <v>147.85</v>
      </c>
      <c r="J45" s="53">
        <v>66.3</v>
      </c>
      <c r="K45" s="53">
        <v>145.76</v>
      </c>
      <c r="L45" s="69"/>
      <c r="M45" s="69"/>
      <c r="N45" s="69"/>
      <c r="O45" s="69"/>
      <c r="P45" s="69"/>
    </row>
    <row r="46" spans="1:16">
      <c r="A46" s="51"/>
      <c r="B46" s="65" t="s">
        <v>39</v>
      </c>
      <c r="C46" s="83">
        <v>4</v>
      </c>
      <c r="D46" s="53">
        <v>25.5</v>
      </c>
      <c r="E46" s="53">
        <v>0</v>
      </c>
      <c r="F46" s="53">
        <v>91</v>
      </c>
      <c r="G46" s="53">
        <v>13.5</v>
      </c>
      <c r="H46" s="53">
        <v>98.23</v>
      </c>
      <c r="I46" s="53">
        <v>61.62</v>
      </c>
      <c r="J46" s="53">
        <v>5.74</v>
      </c>
      <c r="K46" s="53">
        <v>222</v>
      </c>
      <c r="L46" s="69"/>
      <c r="M46" s="69"/>
      <c r="N46" s="69"/>
      <c r="O46" s="69"/>
      <c r="P46" s="69"/>
    </row>
    <row r="47" spans="1:16">
      <c r="A47" s="51"/>
      <c r="B47" s="65" t="s">
        <v>46</v>
      </c>
      <c r="C47" s="83">
        <v>4</v>
      </c>
      <c r="D47" s="53">
        <v>25.6</v>
      </c>
      <c r="E47" s="53">
        <v>0</v>
      </c>
      <c r="F47" s="53">
        <v>107.9</v>
      </c>
      <c r="G47" s="53">
        <v>23.48</v>
      </c>
      <c r="H47" s="53">
        <v>156.08000000000001</v>
      </c>
      <c r="I47" s="53">
        <v>7.1</v>
      </c>
      <c r="J47" s="53">
        <v>0</v>
      </c>
      <c r="K47" s="53">
        <v>459</v>
      </c>
      <c r="L47" s="69"/>
      <c r="M47" s="69"/>
      <c r="N47" s="69"/>
      <c r="O47" s="69"/>
      <c r="P47" s="69"/>
    </row>
    <row r="48" spans="1:16">
      <c r="A48" s="65" t="s">
        <v>193</v>
      </c>
      <c r="B48" s="65" t="s">
        <v>46</v>
      </c>
      <c r="C48" s="83">
        <v>1</v>
      </c>
      <c r="D48" s="53">
        <v>27</v>
      </c>
      <c r="E48" s="53">
        <v>503</v>
      </c>
      <c r="F48" s="53">
        <v>107.9</v>
      </c>
      <c r="G48" s="53">
        <v>23.48</v>
      </c>
      <c r="H48" s="53">
        <v>156.08000000000001</v>
      </c>
      <c r="I48" s="53">
        <v>7.1</v>
      </c>
      <c r="J48" s="53">
        <v>0</v>
      </c>
      <c r="K48" s="53">
        <v>459</v>
      </c>
      <c r="L48" s="69"/>
      <c r="M48" s="69"/>
      <c r="N48" s="69"/>
      <c r="O48" s="69"/>
      <c r="P48" s="69"/>
    </row>
    <row r="49" spans="1:16">
      <c r="A49" s="51"/>
      <c r="B49" s="65" t="s">
        <v>39</v>
      </c>
      <c r="C49" s="83">
        <v>1</v>
      </c>
      <c r="D49" s="53">
        <v>27.2</v>
      </c>
      <c r="E49" s="53">
        <v>1124</v>
      </c>
      <c r="F49" s="53">
        <v>9.08</v>
      </c>
      <c r="G49" s="53">
        <v>13.5</v>
      </c>
      <c r="H49" s="53">
        <v>98.23</v>
      </c>
      <c r="I49" s="53">
        <v>61.62</v>
      </c>
      <c r="J49" s="53">
        <v>5.74</v>
      </c>
      <c r="K49" s="53">
        <v>222</v>
      </c>
      <c r="L49" s="69"/>
      <c r="M49" s="69"/>
      <c r="N49" s="69"/>
      <c r="O49" s="69"/>
      <c r="P49" s="69"/>
    </row>
    <row r="50" spans="1:16">
      <c r="A50" s="51"/>
      <c r="B50" s="65" t="s">
        <v>44</v>
      </c>
      <c r="C50" s="83">
        <v>1</v>
      </c>
      <c r="D50" s="53">
        <v>26.8</v>
      </c>
      <c r="E50" s="53">
        <v>3500</v>
      </c>
      <c r="F50" s="53">
        <v>91.4</v>
      </c>
      <c r="G50" s="53">
        <v>14.27</v>
      </c>
      <c r="H50" s="53">
        <v>825</v>
      </c>
      <c r="I50" s="53">
        <v>147.85</v>
      </c>
      <c r="J50" s="53">
        <v>66.3</v>
      </c>
      <c r="K50" s="53">
        <v>145.76</v>
      </c>
      <c r="L50" s="69"/>
      <c r="M50" s="69"/>
      <c r="N50" s="69"/>
      <c r="O50" s="69"/>
      <c r="P50" s="69"/>
    </row>
    <row r="51" spans="1:16">
      <c r="A51" s="51"/>
      <c r="B51" s="65" t="s">
        <v>33</v>
      </c>
      <c r="C51" s="83">
        <v>1</v>
      </c>
      <c r="D51" s="53">
        <v>27.2</v>
      </c>
      <c r="E51" s="53">
        <v>1037</v>
      </c>
      <c r="F51" s="53">
        <v>62.7</v>
      </c>
      <c r="G51" s="53">
        <v>36.78</v>
      </c>
      <c r="H51" s="53">
        <v>8.34</v>
      </c>
      <c r="I51" s="53">
        <v>13.84</v>
      </c>
      <c r="J51" s="53">
        <v>51.78</v>
      </c>
      <c r="K51" s="53">
        <v>41.88</v>
      </c>
      <c r="L51" s="69"/>
      <c r="M51" s="69"/>
      <c r="N51" s="69"/>
      <c r="O51" s="69"/>
      <c r="P51" s="69"/>
    </row>
    <row r="52" spans="1:16">
      <c r="A52" s="51"/>
      <c r="B52" s="65" t="s">
        <v>42</v>
      </c>
      <c r="C52" s="83">
        <v>1</v>
      </c>
      <c r="D52" s="53">
        <v>26.2</v>
      </c>
      <c r="E52" s="53">
        <v>4800</v>
      </c>
      <c r="F52" s="53">
        <v>50.3</v>
      </c>
      <c r="G52" s="53">
        <v>15.23</v>
      </c>
      <c r="H52" s="53">
        <v>43.67</v>
      </c>
      <c r="I52" s="53">
        <v>0</v>
      </c>
      <c r="J52" s="53">
        <v>35.69</v>
      </c>
      <c r="K52" s="53">
        <v>120.29</v>
      </c>
      <c r="L52" s="69"/>
      <c r="M52" s="69"/>
      <c r="N52" s="69"/>
      <c r="O52" s="69"/>
      <c r="P52" s="69"/>
    </row>
    <row r="53" spans="1:16">
      <c r="A53" s="65" t="s">
        <v>202</v>
      </c>
      <c r="B53" s="65" t="s">
        <v>39</v>
      </c>
      <c r="C53" s="83">
        <v>2</v>
      </c>
      <c r="D53" s="53">
        <v>32.9</v>
      </c>
      <c r="E53" s="53">
        <v>1764</v>
      </c>
      <c r="F53" s="53">
        <v>93.4</v>
      </c>
      <c r="G53" s="53">
        <v>18</v>
      </c>
      <c r="H53" s="53">
        <v>111.58</v>
      </c>
      <c r="I53" s="53">
        <v>5.07</v>
      </c>
      <c r="J53" s="53">
        <v>25.05</v>
      </c>
      <c r="K53" s="53">
        <v>153.07</v>
      </c>
      <c r="L53" s="69"/>
      <c r="M53" s="69"/>
      <c r="N53" s="69"/>
      <c r="O53" s="69"/>
      <c r="P53" s="69"/>
    </row>
    <row r="54" spans="1:16">
      <c r="A54" s="51"/>
      <c r="B54" s="65" t="s">
        <v>46</v>
      </c>
      <c r="C54" s="83">
        <v>2</v>
      </c>
      <c r="D54" s="53">
        <v>36.1</v>
      </c>
      <c r="E54" s="53">
        <v>4090</v>
      </c>
      <c r="F54" s="53">
        <v>10.7</v>
      </c>
      <c r="G54" s="53">
        <v>20.170000000000002</v>
      </c>
      <c r="H54" s="53">
        <v>25.27</v>
      </c>
      <c r="I54" s="53">
        <v>5.93</v>
      </c>
      <c r="J54" s="53">
        <v>9.64</v>
      </c>
      <c r="K54" s="53">
        <v>54.93</v>
      </c>
      <c r="L54" s="69"/>
      <c r="M54" s="69"/>
      <c r="N54" s="69"/>
      <c r="O54" s="69"/>
      <c r="P54" s="69"/>
    </row>
    <row r="55" spans="1:16">
      <c r="A55" s="51"/>
      <c r="B55" s="65" t="s">
        <v>44</v>
      </c>
      <c r="C55" s="83">
        <v>2</v>
      </c>
      <c r="D55" s="53">
        <v>36.799999999999997</v>
      </c>
      <c r="E55" s="53">
        <v>4550</v>
      </c>
      <c r="F55" s="53">
        <v>49.2</v>
      </c>
      <c r="G55" s="53">
        <v>15.81</v>
      </c>
      <c r="H55" s="53">
        <v>37.869999999999997</v>
      </c>
      <c r="I55" s="53">
        <v>22.17</v>
      </c>
      <c r="J55" s="53">
        <v>118.17</v>
      </c>
      <c r="K55" s="53">
        <v>58.1</v>
      </c>
      <c r="L55" s="69"/>
      <c r="M55" s="69"/>
      <c r="N55" s="69"/>
      <c r="O55" s="69"/>
      <c r="P55" s="69"/>
    </row>
    <row r="56" spans="1:16">
      <c r="A56" s="51"/>
      <c r="B56" s="65" t="s">
        <v>33</v>
      </c>
      <c r="C56" s="83">
        <v>2</v>
      </c>
      <c r="D56" s="53">
        <v>35.9</v>
      </c>
      <c r="E56" s="53" t="s">
        <v>132</v>
      </c>
      <c r="F56" s="53">
        <v>34</v>
      </c>
      <c r="G56" s="53">
        <v>30.35</v>
      </c>
      <c r="H56" s="53">
        <v>25.31</v>
      </c>
      <c r="I56" s="53">
        <v>46.84</v>
      </c>
      <c r="J56" s="53">
        <v>19.89</v>
      </c>
      <c r="K56" s="84">
        <v>88.68</v>
      </c>
      <c r="L56" s="69"/>
      <c r="M56" s="69"/>
      <c r="N56" s="69"/>
      <c r="O56" s="69"/>
      <c r="P56" s="69"/>
    </row>
    <row r="57" spans="1:16">
      <c r="A57" s="51"/>
      <c r="B57" s="65" t="s">
        <v>42</v>
      </c>
      <c r="C57" s="83">
        <v>2</v>
      </c>
      <c r="D57" s="53">
        <v>34.799999999999997</v>
      </c>
      <c r="E57" s="53">
        <v>6060</v>
      </c>
      <c r="F57" s="53">
        <v>21.7</v>
      </c>
      <c r="G57" s="53">
        <v>34.340000000000003</v>
      </c>
      <c r="H57" s="53">
        <v>38.29</v>
      </c>
      <c r="I57" s="53">
        <v>22.92</v>
      </c>
      <c r="J57" s="53">
        <v>263</v>
      </c>
      <c r="K57" s="84">
        <v>67.02</v>
      </c>
      <c r="L57" s="69"/>
      <c r="M57" s="69"/>
      <c r="N57" s="69"/>
      <c r="O57" s="69"/>
      <c r="P57" s="69"/>
    </row>
    <row r="58" spans="1:16">
      <c r="A58" s="65" t="s">
        <v>209</v>
      </c>
      <c r="B58" s="65" t="s">
        <v>33</v>
      </c>
      <c r="C58" s="83">
        <v>3</v>
      </c>
      <c r="D58" s="53">
        <v>31.8</v>
      </c>
      <c r="E58" s="53">
        <v>2940</v>
      </c>
      <c r="F58" s="53">
        <v>78.900000000000006</v>
      </c>
      <c r="G58" s="53">
        <v>23.7</v>
      </c>
      <c r="H58" s="53">
        <v>91.69</v>
      </c>
      <c r="I58" s="53">
        <v>564</v>
      </c>
      <c r="J58" s="53" t="s">
        <v>155</v>
      </c>
      <c r="K58" s="53" t="s">
        <v>155</v>
      </c>
      <c r="L58" s="69"/>
      <c r="M58" s="69"/>
      <c r="N58" s="69"/>
      <c r="O58" s="69"/>
      <c r="P58" s="69"/>
    </row>
    <row r="59" spans="1:16">
      <c r="A59" s="51"/>
      <c r="B59" s="65" t="s">
        <v>42</v>
      </c>
      <c r="C59" s="55">
        <v>3</v>
      </c>
      <c r="D59" s="53">
        <v>31.5</v>
      </c>
      <c r="E59" s="53">
        <v>3800</v>
      </c>
      <c r="F59" s="53">
        <v>89.4</v>
      </c>
      <c r="G59" s="53">
        <v>18.420000000000002</v>
      </c>
      <c r="H59" s="53">
        <v>88.25</v>
      </c>
      <c r="I59" s="53">
        <v>138.21</v>
      </c>
      <c r="J59" s="53">
        <v>34.29</v>
      </c>
      <c r="K59" s="53">
        <v>107.31</v>
      </c>
      <c r="L59" s="69"/>
      <c r="M59" s="69"/>
      <c r="N59" s="69"/>
      <c r="O59" s="69"/>
      <c r="P59" s="69"/>
    </row>
    <row r="60" spans="1:16">
      <c r="A60" s="51"/>
      <c r="B60" s="65" t="s">
        <v>44</v>
      </c>
      <c r="C60" s="55">
        <v>3</v>
      </c>
      <c r="D60" s="53">
        <v>31.6</v>
      </c>
      <c r="E60" s="53">
        <v>405</v>
      </c>
      <c r="F60" s="53">
        <v>33.799999999999997</v>
      </c>
      <c r="G60" s="53">
        <v>27.66</v>
      </c>
      <c r="H60" s="53">
        <v>29.1</v>
      </c>
      <c r="I60" s="53">
        <v>64.86</v>
      </c>
      <c r="J60" s="53">
        <v>35.69</v>
      </c>
      <c r="K60" s="53">
        <v>47.57</v>
      </c>
      <c r="L60" s="69"/>
      <c r="M60" s="69"/>
      <c r="N60" s="69"/>
      <c r="O60" s="69"/>
      <c r="P60" s="69"/>
    </row>
    <row r="61" spans="1:16">
      <c r="A61" s="51"/>
      <c r="B61" s="65" t="s">
        <v>39</v>
      </c>
      <c r="C61" s="55">
        <v>3</v>
      </c>
      <c r="D61" s="53">
        <v>31.6</v>
      </c>
      <c r="E61" s="53">
        <v>395</v>
      </c>
      <c r="F61" s="53">
        <v>17.350000000000001</v>
      </c>
      <c r="G61" s="53">
        <v>31.86</v>
      </c>
      <c r="H61" s="53">
        <v>36.6</v>
      </c>
      <c r="I61" s="53">
        <v>37.03</v>
      </c>
      <c r="J61" s="53">
        <v>52.03</v>
      </c>
      <c r="K61" s="53">
        <v>147.85</v>
      </c>
      <c r="L61" s="69"/>
      <c r="M61" s="69"/>
      <c r="N61" s="69"/>
      <c r="O61" s="69"/>
      <c r="P61" s="69"/>
    </row>
    <row r="62" spans="1:16">
      <c r="A62" s="51"/>
      <c r="B62" s="65" t="s">
        <v>46</v>
      </c>
      <c r="C62" s="55">
        <v>3</v>
      </c>
      <c r="D62" s="53">
        <v>31.8</v>
      </c>
      <c r="E62" s="53">
        <v>1056</v>
      </c>
      <c r="F62" s="53">
        <v>96.5</v>
      </c>
      <c r="G62" s="53">
        <v>33.47</v>
      </c>
      <c r="H62" s="53">
        <v>151.58000000000001</v>
      </c>
      <c r="I62" s="53">
        <v>46</v>
      </c>
      <c r="J62" s="53" t="s">
        <v>155</v>
      </c>
      <c r="K62" s="53">
        <v>370</v>
      </c>
      <c r="L62" s="69"/>
      <c r="M62" s="69"/>
      <c r="N62" s="69"/>
      <c r="O62" s="69"/>
      <c r="P62" s="69"/>
    </row>
    <row r="63" spans="1:16">
      <c r="A63" s="65" t="s">
        <v>212</v>
      </c>
      <c r="B63" s="65" t="s">
        <v>42</v>
      </c>
      <c r="C63" s="55">
        <v>4</v>
      </c>
      <c r="D63" s="53">
        <v>28</v>
      </c>
      <c r="E63" s="53">
        <v>0</v>
      </c>
      <c r="F63" s="53">
        <v>95</v>
      </c>
      <c r="G63" s="53">
        <v>19.71</v>
      </c>
      <c r="H63" s="53">
        <v>358</v>
      </c>
      <c r="I63" s="53">
        <v>0</v>
      </c>
      <c r="J63" s="53">
        <v>0</v>
      </c>
      <c r="K63" s="53">
        <v>134.85</v>
      </c>
      <c r="L63" s="69"/>
      <c r="M63" s="69"/>
      <c r="N63" s="69"/>
      <c r="O63" s="69"/>
      <c r="P63" s="69"/>
    </row>
    <row r="64" spans="1:16">
      <c r="A64" s="51"/>
      <c r="B64" s="65" t="s">
        <v>33</v>
      </c>
      <c r="C64" s="55">
        <v>4</v>
      </c>
      <c r="D64" s="53">
        <v>27.5</v>
      </c>
      <c r="E64" s="53">
        <v>0</v>
      </c>
      <c r="F64" s="53">
        <v>67.5</v>
      </c>
      <c r="G64" s="53">
        <v>23.6</v>
      </c>
      <c r="H64" s="53">
        <v>90.52</v>
      </c>
      <c r="I64" s="53">
        <v>564</v>
      </c>
      <c r="J64" s="53" t="s">
        <v>155</v>
      </c>
      <c r="K64" s="53" t="s">
        <v>155</v>
      </c>
      <c r="L64" s="69"/>
      <c r="M64" s="69"/>
      <c r="N64" s="69"/>
      <c r="O64" s="69"/>
      <c r="P64" s="69"/>
    </row>
    <row r="65" spans="1:16">
      <c r="A65" s="51" t="s">
        <v>165</v>
      </c>
      <c r="B65" s="65" t="s">
        <v>39</v>
      </c>
      <c r="C65" s="83">
        <v>4</v>
      </c>
      <c r="D65" s="53">
        <v>27</v>
      </c>
      <c r="E65" s="53">
        <v>0</v>
      </c>
      <c r="F65" s="53">
        <v>173.5</v>
      </c>
      <c r="G65" s="53">
        <v>31.86</v>
      </c>
      <c r="H65" s="53">
        <v>366</v>
      </c>
      <c r="I65" s="53">
        <v>37.03</v>
      </c>
      <c r="J65" s="53">
        <v>52.03</v>
      </c>
      <c r="K65" s="53">
        <v>147.85</v>
      </c>
      <c r="L65" s="69"/>
      <c r="M65" s="69"/>
      <c r="N65" s="69"/>
      <c r="O65" s="69"/>
      <c r="P65" s="69"/>
    </row>
    <row r="66" spans="1:16">
      <c r="A66" s="51"/>
      <c r="B66" s="65" t="s">
        <v>46</v>
      </c>
      <c r="C66" s="83">
        <v>4</v>
      </c>
      <c r="D66" s="53">
        <v>27.5</v>
      </c>
      <c r="E66" s="53">
        <v>0</v>
      </c>
      <c r="F66" s="53" t="s">
        <v>214</v>
      </c>
      <c r="G66" s="53">
        <v>18.53</v>
      </c>
      <c r="H66" s="53">
        <v>76.7</v>
      </c>
      <c r="I66" s="53">
        <v>370</v>
      </c>
      <c r="J66" s="53">
        <v>224</v>
      </c>
      <c r="K66" s="53">
        <v>220</v>
      </c>
      <c r="L66" s="69"/>
      <c r="M66" s="69"/>
      <c r="N66" s="69"/>
      <c r="O66" s="69"/>
      <c r="P66" s="69"/>
    </row>
    <row r="67" spans="1:16">
      <c r="A67" s="51"/>
      <c r="B67" s="65" t="s">
        <v>44</v>
      </c>
      <c r="C67" s="83">
        <v>4</v>
      </c>
      <c r="D67" s="53" t="s">
        <v>132</v>
      </c>
      <c r="E67" s="53" t="s">
        <v>132</v>
      </c>
      <c r="F67" s="53" t="s">
        <v>132</v>
      </c>
      <c r="G67" s="53" t="s">
        <v>132</v>
      </c>
      <c r="H67" s="53" t="s">
        <v>132</v>
      </c>
      <c r="I67" s="53" t="s">
        <v>132</v>
      </c>
      <c r="J67" s="53" t="s">
        <v>132</v>
      </c>
      <c r="K67" s="53" t="s">
        <v>132</v>
      </c>
      <c r="L67" s="69"/>
      <c r="M67" s="69"/>
      <c r="N67" s="69"/>
      <c r="O67" s="69"/>
      <c r="P67" s="69"/>
    </row>
    <row r="68" spans="1:16">
      <c r="A68" s="65" t="s">
        <v>88</v>
      </c>
      <c r="B68" s="65" t="s">
        <v>42</v>
      </c>
      <c r="C68" s="83">
        <v>2</v>
      </c>
      <c r="D68" s="53">
        <v>30.1</v>
      </c>
      <c r="E68" s="53" t="s">
        <v>132</v>
      </c>
      <c r="F68" s="53">
        <v>67.599999999999994</v>
      </c>
      <c r="G68" s="53">
        <v>7.07</v>
      </c>
      <c r="H68" s="53" t="s">
        <v>155</v>
      </c>
      <c r="I68" s="53">
        <v>19.55</v>
      </c>
      <c r="J68" s="53">
        <v>81.59</v>
      </c>
      <c r="K68" s="53">
        <v>266</v>
      </c>
      <c r="L68" s="69"/>
      <c r="M68" s="69"/>
      <c r="N68" s="69"/>
      <c r="O68" s="69"/>
      <c r="P68" s="69"/>
    </row>
    <row r="69" spans="1:16">
      <c r="A69" s="71"/>
      <c r="B69" s="72" t="s">
        <v>33</v>
      </c>
      <c r="C69" s="80">
        <v>2</v>
      </c>
      <c r="D69" s="53">
        <v>34.5</v>
      </c>
      <c r="E69" s="53">
        <v>8250</v>
      </c>
      <c r="F69" s="53">
        <v>21.7</v>
      </c>
      <c r="G69" s="53">
        <v>29.1</v>
      </c>
      <c r="H69" s="53">
        <v>17.309999999999999</v>
      </c>
      <c r="I69" s="53">
        <v>14.07</v>
      </c>
      <c r="J69" s="53">
        <v>25.66</v>
      </c>
      <c r="K69" s="53">
        <v>50.03</v>
      </c>
      <c r="L69" s="69"/>
      <c r="M69" s="69"/>
      <c r="N69" s="69"/>
      <c r="O69" s="69"/>
      <c r="P69" s="69"/>
    </row>
    <row r="70" spans="1:16">
      <c r="A70" s="71"/>
      <c r="B70" s="72" t="s">
        <v>39</v>
      </c>
      <c r="C70" s="80">
        <v>2</v>
      </c>
      <c r="D70" s="53" t="s">
        <v>132</v>
      </c>
      <c r="E70" s="53" t="s">
        <v>132</v>
      </c>
      <c r="F70" s="53" t="s">
        <v>132</v>
      </c>
      <c r="G70" s="53" t="s">
        <v>132</v>
      </c>
      <c r="H70" s="53" t="s">
        <v>132</v>
      </c>
      <c r="I70" s="53" t="s">
        <v>132</v>
      </c>
      <c r="J70" s="53" t="s">
        <v>132</v>
      </c>
      <c r="K70" s="53" t="s">
        <v>132</v>
      </c>
      <c r="L70" s="69"/>
      <c r="M70" s="69"/>
      <c r="N70" s="69"/>
      <c r="O70" s="69"/>
      <c r="P70" s="69"/>
    </row>
    <row r="71" spans="1:16">
      <c r="A71" s="71"/>
      <c r="B71" s="72" t="s">
        <v>46</v>
      </c>
      <c r="C71" s="80">
        <v>2</v>
      </c>
      <c r="D71" s="53" t="s">
        <v>132</v>
      </c>
      <c r="E71" s="53" t="s">
        <v>132</v>
      </c>
      <c r="F71" s="53" t="s">
        <v>132</v>
      </c>
      <c r="G71" s="53" t="s">
        <v>132</v>
      </c>
      <c r="H71" s="53" t="s">
        <v>132</v>
      </c>
      <c r="I71" s="53" t="s">
        <v>132</v>
      </c>
      <c r="J71" s="53" t="s">
        <v>132</v>
      </c>
      <c r="K71" s="53" t="s">
        <v>132</v>
      </c>
      <c r="L71" s="69"/>
      <c r="M71" s="69"/>
      <c r="N71" s="69"/>
      <c r="O71" s="69"/>
      <c r="P71" s="69"/>
    </row>
    <row r="72" spans="1:16">
      <c r="A72" s="65" t="s">
        <v>89</v>
      </c>
      <c r="B72" s="72" t="s">
        <v>42</v>
      </c>
      <c r="C72" s="80">
        <v>3</v>
      </c>
      <c r="D72" s="53">
        <v>30</v>
      </c>
      <c r="E72" s="53">
        <v>3370</v>
      </c>
      <c r="F72" s="53">
        <v>73.599999999999994</v>
      </c>
      <c r="G72" s="53">
        <v>10.43</v>
      </c>
      <c r="H72" s="53">
        <v>165</v>
      </c>
      <c r="I72" s="53">
        <v>42.19</v>
      </c>
      <c r="J72" s="53" t="s">
        <v>155</v>
      </c>
      <c r="K72" s="53">
        <v>167</v>
      </c>
      <c r="L72" s="69"/>
      <c r="M72" s="69"/>
      <c r="N72" s="69"/>
      <c r="O72" s="69"/>
      <c r="P72" s="69"/>
    </row>
    <row r="73" spans="1:16">
      <c r="A73" s="71"/>
      <c r="B73" s="72" t="s">
        <v>33</v>
      </c>
      <c r="C73" s="80">
        <v>3</v>
      </c>
      <c r="D73" s="53">
        <v>29.9</v>
      </c>
      <c r="E73" s="53">
        <v>1652</v>
      </c>
      <c r="F73" s="53">
        <v>52.7</v>
      </c>
      <c r="G73" s="53">
        <v>49.61</v>
      </c>
      <c r="H73" s="53">
        <v>28.45</v>
      </c>
      <c r="I73" s="53">
        <v>31.26</v>
      </c>
      <c r="J73" s="53">
        <v>39.729999999999997</v>
      </c>
      <c r="K73" s="53">
        <v>238.6</v>
      </c>
      <c r="L73" s="69"/>
      <c r="M73" s="69"/>
      <c r="N73" s="69"/>
      <c r="O73" s="69"/>
      <c r="P73" s="69"/>
    </row>
    <row r="74" spans="1:16">
      <c r="A74" s="71"/>
      <c r="B74" s="72" t="s">
        <v>39</v>
      </c>
      <c r="C74" s="80">
        <v>3</v>
      </c>
      <c r="D74" s="53" t="s">
        <v>132</v>
      </c>
      <c r="E74" s="53" t="s">
        <v>132</v>
      </c>
      <c r="F74" s="53">
        <v>120.4</v>
      </c>
      <c r="G74" s="53">
        <v>13.64</v>
      </c>
      <c r="H74" s="53">
        <v>257</v>
      </c>
      <c r="I74" s="53">
        <v>55.62</v>
      </c>
      <c r="J74" s="53">
        <v>115.15</v>
      </c>
      <c r="K74" s="53">
        <v>180</v>
      </c>
      <c r="L74" s="69"/>
      <c r="M74" s="69"/>
      <c r="N74" s="69"/>
      <c r="O74" s="69"/>
      <c r="P74" s="69"/>
    </row>
    <row r="75" spans="1:16">
      <c r="A75" s="74"/>
      <c r="B75" s="72" t="s">
        <v>48</v>
      </c>
      <c r="C75" s="80">
        <v>3</v>
      </c>
      <c r="D75" s="53">
        <v>29.9</v>
      </c>
      <c r="E75" s="53">
        <v>2240</v>
      </c>
      <c r="F75" s="53">
        <v>74.8</v>
      </c>
      <c r="G75" s="53">
        <v>16.510000000000002</v>
      </c>
      <c r="H75" s="53">
        <v>42.37</v>
      </c>
      <c r="I75" s="53">
        <v>104.56</v>
      </c>
      <c r="J75" s="53">
        <v>15.44</v>
      </c>
      <c r="K75" s="53">
        <v>24.67</v>
      </c>
      <c r="L75" s="69"/>
      <c r="M75" s="69"/>
      <c r="N75" s="69"/>
      <c r="O75" s="69"/>
      <c r="P75" s="69"/>
    </row>
    <row r="76" spans="1:16">
      <c r="A76" s="65" t="s">
        <v>222</v>
      </c>
      <c r="B76" s="72" t="s">
        <v>42</v>
      </c>
      <c r="C76" s="80">
        <v>4</v>
      </c>
      <c r="D76" s="53">
        <v>24.2</v>
      </c>
      <c r="E76" s="53">
        <v>0</v>
      </c>
      <c r="F76" s="53">
        <v>63.3</v>
      </c>
      <c r="G76" s="53">
        <v>9.6</v>
      </c>
      <c r="H76" s="53">
        <v>67.099999999999994</v>
      </c>
      <c r="I76" s="53">
        <v>9.1</v>
      </c>
      <c r="J76" s="53">
        <v>98.32</v>
      </c>
      <c r="K76" s="53">
        <v>61.72</v>
      </c>
      <c r="L76" s="69"/>
      <c r="M76" s="69"/>
      <c r="N76" s="69"/>
      <c r="O76" s="69"/>
      <c r="P76" s="69"/>
    </row>
    <row r="77" spans="1:16">
      <c r="A77" s="74"/>
      <c r="B77" s="72" t="s">
        <v>33</v>
      </c>
      <c r="C77" s="80">
        <v>4</v>
      </c>
      <c r="D77" s="53">
        <v>24.4</v>
      </c>
      <c r="E77" s="53">
        <v>0</v>
      </c>
      <c r="F77" s="53">
        <v>98.6</v>
      </c>
      <c r="G77" s="53">
        <v>14.95</v>
      </c>
      <c r="H77" s="53">
        <v>51.4</v>
      </c>
      <c r="I77" s="53" t="s">
        <v>155</v>
      </c>
      <c r="J77" s="53">
        <v>73.400000000000006</v>
      </c>
      <c r="K77" s="53">
        <v>101.56</v>
      </c>
      <c r="L77" s="69"/>
      <c r="M77" s="69"/>
      <c r="N77" s="69"/>
      <c r="O77" s="69"/>
      <c r="P77" s="69"/>
    </row>
    <row r="78" spans="1:16">
      <c r="A78" s="74"/>
      <c r="B78" s="72" t="s">
        <v>39</v>
      </c>
      <c r="C78" s="80">
        <v>4</v>
      </c>
      <c r="D78" s="53">
        <v>25.5</v>
      </c>
      <c r="E78" s="53">
        <v>0</v>
      </c>
      <c r="F78" s="53">
        <v>120.4</v>
      </c>
      <c r="G78" s="53">
        <v>13.64</v>
      </c>
      <c r="H78" s="53">
        <v>275</v>
      </c>
      <c r="I78" s="53">
        <v>55.62</v>
      </c>
      <c r="J78" s="53">
        <v>115.15</v>
      </c>
      <c r="K78" s="85">
        <v>180</v>
      </c>
      <c r="L78" s="69"/>
      <c r="M78" s="69"/>
      <c r="N78" s="69"/>
      <c r="O78" s="69"/>
      <c r="P78" s="69"/>
    </row>
    <row r="79" spans="1:16">
      <c r="D79" s="34"/>
      <c r="E79" s="69"/>
      <c r="K79" s="86"/>
      <c r="L79" s="86"/>
      <c r="M79" s="86"/>
      <c r="N79" s="86"/>
      <c r="O79" s="86"/>
      <c r="P79" s="86"/>
    </row>
    <row r="80" spans="1:16">
      <c r="D80" s="34"/>
      <c r="E80" s="69"/>
      <c r="K80" s="86"/>
      <c r="L80" s="86"/>
      <c r="M80" s="86"/>
      <c r="N80" s="86"/>
      <c r="O80" s="86"/>
      <c r="P80" s="86"/>
    </row>
    <row r="81" spans="4:16">
      <c r="D81" s="34"/>
      <c r="E81" s="69"/>
      <c r="K81" s="86"/>
      <c r="L81" s="86"/>
      <c r="M81" s="86"/>
      <c r="N81" s="86"/>
      <c r="O81" s="86"/>
      <c r="P81" s="86"/>
    </row>
    <row r="82" spans="4:16">
      <c r="D82" s="34"/>
      <c r="E82" s="69"/>
      <c r="K82" s="86"/>
      <c r="L82" s="86"/>
      <c r="M82" s="86"/>
      <c r="N82" s="86"/>
      <c r="O82" s="86"/>
      <c r="P82" s="86"/>
    </row>
    <row r="83" spans="4:16">
      <c r="D83" s="34"/>
      <c r="E83" s="69"/>
    </row>
    <row r="84" spans="4:16">
      <c r="D84" s="34"/>
      <c r="E84" s="69"/>
    </row>
    <row r="85" spans="4:16">
      <c r="D85" s="34"/>
      <c r="E85" s="69"/>
    </row>
    <row r="86" spans="4:16">
      <c r="D86" s="34"/>
      <c r="E86" s="69"/>
    </row>
    <row r="87" spans="4:16">
      <c r="D87" s="34"/>
      <c r="E87" s="69"/>
    </row>
    <row r="88" spans="4:16">
      <c r="D88" s="34"/>
      <c r="E88" s="69"/>
    </row>
    <row r="89" spans="4:16">
      <c r="D89" s="34"/>
      <c r="E89" s="69"/>
    </row>
    <row r="90" spans="4:16">
      <c r="D90" s="34"/>
      <c r="E90" s="69"/>
    </row>
    <row r="91" spans="4:16">
      <c r="D91" s="34"/>
      <c r="E91" s="69"/>
    </row>
    <row r="92" spans="4:16">
      <c r="D92" s="34"/>
      <c r="E92" s="69"/>
    </row>
    <row r="93" spans="4:16">
      <c r="D93" s="34"/>
      <c r="E93" s="69"/>
    </row>
    <row r="94" spans="4:16">
      <c r="D94" s="34"/>
      <c r="E94" s="69"/>
    </row>
    <row r="95" spans="4:16">
      <c r="D95" s="34"/>
      <c r="E95" s="69"/>
    </row>
    <row r="96" spans="4:16" ht="15.75" customHeight="1">
      <c r="D96" s="34"/>
      <c r="E96" s="34"/>
    </row>
    <row r="97" spans="4:5" ht="15.75" customHeight="1">
      <c r="D97" s="34"/>
      <c r="E97" s="34"/>
    </row>
    <row r="98" spans="4:5" ht="15.75" customHeight="1">
      <c r="D98" s="34"/>
      <c r="E98" s="34"/>
    </row>
    <row r="99" spans="4:5" ht="15.75" customHeight="1">
      <c r="E99" s="34"/>
    </row>
  </sheetData>
  <phoneticPr fontId="23" type="noConversion"/>
  <conditionalFormatting sqref="B4 B6">
    <cfRule type="notContainsBlanks" dxfId="1" priority="1">
      <formula>LEN(TRIM(B4))&gt;0</formula>
    </cfRule>
  </conditionalFormatting>
  <dataValidations count="1">
    <dataValidation type="list" allowBlank="1" showErrorMessage="1" sqref="B2:B78" xr:uid="{00000000-0002-0000-0800-000000000000}">
      <formula1>"TR#13,TR#14,TR#15,TR#16,TR#17,TR#18,TR#19,TR#20,TR#21,TR#22,TR#23,TR#24,TR#25"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E126"/>
  <sheetViews>
    <sheetView workbookViewId="0"/>
  </sheetViews>
  <sheetFormatPr defaultColWidth="12.6328125" defaultRowHeight="15.75" customHeight="1"/>
  <sheetData>
    <row r="1" spans="1:31">
      <c r="A1" s="21" t="s">
        <v>109</v>
      </c>
      <c r="B1" s="21" t="s">
        <v>110</v>
      </c>
      <c r="C1" s="22" t="s">
        <v>111</v>
      </c>
      <c r="D1" s="21" t="s">
        <v>112</v>
      </c>
      <c r="E1" s="21" t="s">
        <v>113</v>
      </c>
      <c r="F1" s="21" t="s">
        <v>114</v>
      </c>
      <c r="G1" s="113" t="s">
        <v>118</v>
      </c>
      <c r="H1" s="138"/>
      <c r="I1" s="138"/>
      <c r="J1" s="138"/>
      <c r="K1" s="21" t="s">
        <v>119</v>
      </c>
      <c r="L1" s="21" t="s">
        <v>120</v>
      </c>
      <c r="M1" s="21" t="s">
        <v>121</v>
      </c>
      <c r="N1" s="21" t="s">
        <v>122</v>
      </c>
      <c r="O1" s="21" t="s">
        <v>123</v>
      </c>
      <c r="P1" s="21" t="s">
        <v>124</v>
      </c>
      <c r="Q1" s="113" t="s">
        <v>127</v>
      </c>
      <c r="R1" s="138"/>
      <c r="S1" s="138"/>
      <c r="T1" s="114"/>
      <c r="U1" s="69"/>
      <c r="V1" s="151"/>
      <c r="W1" s="121"/>
      <c r="X1" s="151"/>
      <c r="Y1" s="121"/>
      <c r="Z1" s="151"/>
      <c r="AA1" s="121"/>
      <c r="AB1" s="151"/>
      <c r="AC1" s="121"/>
      <c r="AD1" s="121"/>
      <c r="AE1" s="121"/>
    </row>
    <row r="2" spans="1:31" ht="15.75" customHeight="1">
      <c r="A2" s="51" t="s">
        <v>128</v>
      </c>
      <c r="B2" s="51" t="s">
        <v>26</v>
      </c>
      <c r="C2" s="52">
        <v>0.34444444444444444</v>
      </c>
      <c r="D2" s="53">
        <v>29.4</v>
      </c>
      <c r="E2" s="53">
        <v>69</v>
      </c>
      <c r="F2" s="53">
        <v>4700</v>
      </c>
      <c r="G2" s="132" t="s">
        <v>129</v>
      </c>
      <c r="H2" s="121"/>
      <c r="I2" s="121"/>
      <c r="J2" s="121"/>
      <c r="K2" s="53">
        <v>37.6</v>
      </c>
      <c r="L2" s="53">
        <v>28.89</v>
      </c>
      <c r="M2" s="53">
        <v>40.19</v>
      </c>
      <c r="N2" s="53">
        <v>42.26</v>
      </c>
      <c r="O2" s="53">
        <v>10.77</v>
      </c>
      <c r="P2" s="53">
        <v>97.57</v>
      </c>
      <c r="Q2" s="134"/>
      <c r="R2" s="121"/>
      <c r="S2" s="121"/>
      <c r="T2" s="118"/>
      <c r="U2" s="80"/>
      <c r="V2" s="152"/>
      <c r="W2" s="121"/>
      <c r="X2" s="152"/>
      <c r="Y2" s="121"/>
      <c r="Z2" s="152"/>
      <c r="AA2" s="121"/>
      <c r="AB2" s="153"/>
      <c r="AC2" s="121"/>
      <c r="AD2" s="121"/>
      <c r="AE2" s="121"/>
    </row>
    <row r="3" spans="1:31" ht="15.75" customHeight="1">
      <c r="A3" s="51"/>
      <c r="B3" s="51" t="s">
        <v>30</v>
      </c>
      <c r="C3" s="52">
        <v>0.3611111111111111</v>
      </c>
      <c r="D3" s="53">
        <v>32.4</v>
      </c>
      <c r="E3" s="53">
        <v>75.5</v>
      </c>
      <c r="F3" s="53">
        <v>18100</v>
      </c>
      <c r="G3" s="132" t="s">
        <v>130</v>
      </c>
      <c r="H3" s="121"/>
      <c r="I3" s="121"/>
      <c r="J3" s="121"/>
      <c r="K3" s="53">
        <v>14.5</v>
      </c>
      <c r="L3" s="53">
        <v>26.67</v>
      </c>
      <c r="M3" s="53">
        <v>16.399999999999999</v>
      </c>
      <c r="N3" s="53">
        <v>44.45</v>
      </c>
      <c r="O3" s="53">
        <v>16.11</v>
      </c>
      <c r="P3" s="53">
        <v>61.57</v>
      </c>
      <c r="Q3" s="132" t="s">
        <v>131</v>
      </c>
      <c r="R3" s="121"/>
      <c r="S3" s="121"/>
      <c r="T3" s="118"/>
      <c r="U3" s="80"/>
      <c r="V3" s="152"/>
      <c r="W3" s="121"/>
      <c r="X3" s="152"/>
      <c r="Y3" s="121"/>
      <c r="Z3" s="152"/>
      <c r="AA3" s="121"/>
      <c r="AB3" s="153"/>
      <c r="AC3" s="121"/>
      <c r="AD3" s="121"/>
      <c r="AE3" s="121"/>
    </row>
    <row r="4" spans="1:31" ht="15.75" customHeight="1">
      <c r="A4" s="51"/>
      <c r="B4" s="51" t="s">
        <v>28</v>
      </c>
      <c r="C4" s="52">
        <v>0.3840277777777778</v>
      </c>
      <c r="D4" s="53" t="s">
        <v>132</v>
      </c>
      <c r="E4" s="56" t="s">
        <v>132</v>
      </c>
      <c r="F4" s="56" t="s">
        <v>132</v>
      </c>
      <c r="G4" s="132" t="s">
        <v>132</v>
      </c>
      <c r="H4" s="121"/>
      <c r="I4" s="121"/>
      <c r="J4" s="121"/>
      <c r="K4" s="53" t="s">
        <v>132</v>
      </c>
      <c r="L4" s="53" t="s">
        <v>132</v>
      </c>
      <c r="M4" s="53" t="s">
        <v>132</v>
      </c>
      <c r="N4" s="53" t="s">
        <v>132</v>
      </c>
      <c r="O4" s="53" t="s">
        <v>132</v>
      </c>
      <c r="P4" s="53" t="s">
        <v>132</v>
      </c>
      <c r="Q4" s="137" t="s">
        <v>133</v>
      </c>
      <c r="R4" s="121"/>
      <c r="S4" s="121"/>
      <c r="T4" s="118"/>
      <c r="U4" s="80"/>
      <c r="V4" s="152"/>
      <c r="W4" s="121"/>
      <c r="X4" s="152"/>
      <c r="Y4" s="121"/>
      <c r="Z4" s="152"/>
      <c r="AA4" s="121"/>
      <c r="AB4" s="153"/>
      <c r="AC4" s="121"/>
      <c r="AD4" s="121"/>
      <c r="AE4" s="121"/>
    </row>
    <row r="5" spans="1:31" ht="15.75" customHeight="1">
      <c r="A5" s="51"/>
      <c r="B5" s="51" t="s">
        <v>26</v>
      </c>
      <c r="C5" s="52">
        <v>0.40625</v>
      </c>
      <c r="D5" s="56" t="s">
        <v>132</v>
      </c>
      <c r="E5" s="56" t="s">
        <v>132</v>
      </c>
      <c r="F5" s="56" t="s">
        <v>132</v>
      </c>
      <c r="G5" s="132" t="s">
        <v>132</v>
      </c>
      <c r="H5" s="121"/>
      <c r="I5" s="121"/>
      <c r="J5" s="121"/>
      <c r="K5" s="53" t="s">
        <v>132</v>
      </c>
      <c r="L5" s="53" t="s">
        <v>132</v>
      </c>
      <c r="M5" s="53" t="s">
        <v>132</v>
      </c>
      <c r="N5" s="53" t="s">
        <v>132</v>
      </c>
      <c r="O5" s="53" t="s">
        <v>132</v>
      </c>
      <c r="P5" s="53" t="s">
        <v>132</v>
      </c>
      <c r="Q5" s="137" t="s">
        <v>133</v>
      </c>
      <c r="R5" s="121"/>
      <c r="S5" s="121"/>
      <c r="T5" s="118"/>
      <c r="U5" s="80"/>
      <c r="V5" s="152"/>
      <c r="W5" s="121"/>
      <c r="X5" s="152"/>
      <c r="Y5" s="121"/>
      <c r="Z5" s="152"/>
      <c r="AA5" s="121"/>
      <c r="AB5" s="153"/>
      <c r="AC5" s="121"/>
      <c r="AD5" s="121"/>
      <c r="AE5" s="121"/>
    </row>
    <row r="6" spans="1:31" ht="15.75" customHeight="1">
      <c r="A6" s="51"/>
      <c r="B6" s="57" t="s">
        <v>19</v>
      </c>
      <c r="C6" s="52">
        <v>0.41875000000000001</v>
      </c>
      <c r="D6" s="53">
        <v>33.4</v>
      </c>
      <c r="E6" s="53">
        <v>74.900000000000006</v>
      </c>
      <c r="F6" s="53">
        <v>4380</v>
      </c>
      <c r="G6" s="134" t="s">
        <v>134</v>
      </c>
      <c r="H6" s="121"/>
      <c r="I6" s="121"/>
      <c r="J6" s="118"/>
      <c r="K6" s="53">
        <v>4.5</v>
      </c>
      <c r="L6" s="53">
        <v>13.57</v>
      </c>
      <c r="M6" s="53">
        <v>37.1</v>
      </c>
      <c r="N6" s="53">
        <v>21.51</v>
      </c>
      <c r="O6" s="53">
        <v>47.26</v>
      </c>
      <c r="P6" s="53">
        <v>14.7</v>
      </c>
      <c r="Q6" s="132" t="s">
        <v>135</v>
      </c>
      <c r="R6" s="121"/>
      <c r="S6" s="121"/>
      <c r="T6" s="118"/>
      <c r="U6" s="80"/>
      <c r="V6" s="152"/>
      <c r="W6" s="121"/>
      <c r="X6" s="152"/>
      <c r="Y6" s="121"/>
      <c r="Z6" s="152"/>
      <c r="AA6" s="121"/>
      <c r="AB6" s="153"/>
      <c r="AC6" s="121"/>
      <c r="AD6" s="121"/>
      <c r="AE6" s="121"/>
    </row>
    <row r="7" spans="1:31" ht="15.75" customHeight="1">
      <c r="A7" s="51"/>
      <c r="B7" s="51" t="s">
        <v>33</v>
      </c>
      <c r="C7" s="52">
        <v>0.42499999999999999</v>
      </c>
      <c r="D7" s="53">
        <v>32.299999999999997</v>
      </c>
      <c r="E7" s="53">
        <v>63.8</v>
      </c>
      <c r="F7" s="56" t="s">
        <v>136</v>
      </c>
      <c r="G7" s="134" t="s">
        <v>137</v>
      </c>
      <c r="H7" s="121"/>
      <c r="I7" s="121"/>
      <c r="J7" s="118"/>
      <c r="K7" s="53">
        <v>91.5</v>
      </c>
      <c r="L7" s="53">
        <v>25.15</v>
      </c>
      <c r="M7" s="53">
        <v>36.32</v>
      </c>
      <c r="N7" s="53">
        <v>258</v>
      </c>
      <c r="O7" s="53">
        <v>36.81</v>
      </c>
      <c r="P7" s="53">
        <v>22.14</v>
      </c>
      <c r="Q7" s="132" t="s">
        <v>138</v>
      </c>
      <c r="R7" s="121"/>
      <c r="S7" s="121"/>
      <c r="T7" s="118"/>
      <c r="U7" s="80"/>
      <c r="V7" s="152"/>
      <c r="W7" s="121"/>
      <c r="X7" s="152"/>
      <c r="Y7" s="121"/>
      <c r="Z7" s="152"/>
      <c r="AA7" s="121"/>
      <c r="AB7" s="153"/>
      <c r="AC7" s="121"/>
      <c r="AD7" s="121"/>
      <c r="AE7" s="121"/>
    </row>
    <row r="8" spans="1:31" ht="15.75" customHeight="1">
      <c r="A8" s="51"/>
      <c r="B8" s="51" t="s">
        <v>37</v>
      </c>
      <c r="C8" s="52">
        <v>0.44444444444444442</v>
      </c>
      <c r="D8" s="53">
        <v>30.2</v>
      </c>
      <c r="E8" s="53">
        <v>66.5</v>
      </c>
      <c r="F8" s="53">
        <v>12270</v>
      </c>
      <c r="G8" s="134" t="s">
        <v>139</v>
      </c>
      <c r="H8" s="121"/>
      <c r="I8" s="121"/>
      <c r="J8" s="121"/>
      <c r="K8" s="53">
        <v>15.7</v>
      </c>
      <c r="L8" s="53">
        <v>47.83</v>
      </c>
      <c r="M8" s="53">
        <v>12.54</v>
      </c>
      <c r="N8" s="53">
        <v>29.85</v>
      </c>
      <c r="O8" s="53">
        <v>33.450000000000003</v>
      </c>
      <c r="P8" s="53">
        <v>21.88</v>
      </c>
      <c r="Q8" s="132" t="s">
        <v>131</v>
      </c>
      <c r="R8" s="121"/>
      <c r="S8" s="121"/>
      <c r="T8" s="118"/>
      <c r="U8" s="80"/>
      <c r="V8" s="152"/>
      <c r="W8" s="121"/>
      <c r="X8" s="152"/>
      <c r="Y8" s="121"/>
      <c r="Z8" s="152"/>
      <c r="AA8" s="121"/>
      <c r="AB8" s="153"/>
      <c r="AC8" s="121"/>
      <c r="AD8" s="121"/>
      <c r="AE8" s="121"/>
    </row>
    <row r="9" spans="1:31" ht="15.75" customHeight="1">
      <c r="A9" s="51"/>
      <c r="B9" s="51" t="s">
        <v>35</v>
      </c>
      <c r="C9" s="52">
        <v>0.46041666666666664</v>
      </c>
      <c r="D9" s="53">
        <v>33.799999999999997</v>
      </c>
      <c r="E9" s="53">
        <v>76.400000000000006</v>
      </c>
      <c r="F9" s="56" t="s">
        <v>140</v>
      </c>
      <c r="G9" s="134" t="s">
        <v>141</v>
      </c>
      <c r="H9" s="121"/>
      <c r="I9" s="121"/>
      <c r="J9" s="121"/>
      <c r="K9" s="53">
        <v>10</v>
      </c>
      <c r="L9" s="53">
        <v>16.97</v>
      </c>
      <c r="M9" s="53">
        <v>50.88</v>
      </c>
      <c r="N9" s="53">
        <v>17.37</v>
      </c>
      <c r="O9" s="53">
        <v>16.079999999999998</v>
      </c>
      <c r="P9" s="53">
        <v>65.75</v>
      </c>
      <c r="Q9" s="132" t="s">
        <v>142</v>
      </c>
      <c r="R9" s="121"/>
      <c r="S9" s="121"/>
      <c r="T9" s="118"/>
      <c r="U9" s="80"/>
      <c r="V9" s="152"/>
      <c r="W9" s="121"/>
      <c r="X9" s="152"/>
      <c r="Y9" s="121"/>
      <c r="Z9" s="152"/>
      <c r="AA9" s="121"/>
      <c r="AB9" s="153"/>
      <c r="AC9" s="121"/>
      <c r="AD9" s="121"/>
      <c r="AE9" s="121"/>
    </row>
    <row r="10" spans="1:31" ht="15.75" customHeight="1">
      <c r="A10" s="51" t="s">
        <v>143</v>
      </c>
      <c r="B10" s="51" t="s">
        <v>35</v>
      </c>
      <c r="C10" s="52">
        <v>0.6333333333333333</v>
      </c>
      <c r="D10" s="53" t="s">
        <v>132</v>
      </c>
      <c r="E10" s="53" t="s">
        <v>132</v>
      </c>
      <c r="F10" s="53" t="s">
        <v>132</v>
      </c>
      <c r="G10" s="132" t="s">
        <v>132</v>
      </c>
      <c r="H10" s="121"/>
      <c r="I10" s="121"/>
      <c r="J10" s="121"/>
      <c r="K10" s="56" t="s">
        <v>132</v>
      </c>
      <c r="L10" s="56" t="s">
        <v>132</v>
      </c>
      <c r="M10" s="56" t="s">
        <v>132</v>
      </c>
      <c r="N10" s="56" t="s">
        <v>132</v>
      </c>
      <c r="O10" s="56" t="s">
        <v>132</v>
      </c>
      <c r="P10" s="56" t="s">
        <v>132</v>
      </c>
      <c r="Q10" s="133" t="s">
        <v>144</v>
      </c>
      <c r="R10" s="121"/>
      <c r="S10" s="121"/>
      <c r="T10" s="118"/>
      <c r="U10" s="80"/>
      <c r="V10" s="152"/>
      <c r="W10" s="121"/>
      <c r="X10" s="152"/>
      <c r="Y10" s="121"/>
      <c r="Z10" s="152"/>
      <c r="AA10" s="121"/>
      <c r="AB10" s="153"/>
      <c r="AC10" s="121"/>
      <c r="AD10" s="121"/>
      <c r="AE10" s="121"/>
    </row>
    <row r="11" spans="1:31" ht="15.75" customHeight="1">
      <c r="A11" s="51"/>
      <c r="B11" s="51" t="s">
        <v>33</v>
      </c>
      <c r="C11" s="52">
        <v>0.64652777777777781</v>
      </c>
      <c r="D11" s="56">
        <v>28.2</v>
      </c>
      <c r="E11" s="56">
        <v>74.8</v>
      </c>
      <c r="F11" s="56">
        <v>2360</v>
      </c>
      <c r="G11" s="132" t="s">
        <v>145</v>
      </c>
      <c r="H11" s="121"/>
      <c r="I11" s="121"/>
      <c r="J11" s="121"/>
      <c r="K11" s="56">
        <v>50.7</v>
      </c>
      <c r="L11" s="56">
        <v>51.14</v>
      </c>
      <c r="M11" s="56">
        <v>240</v>
      </c>
      <c r="N11" s="56">
        <v>218</v>
      </c>
      <c r="O11" s="56">
        <v>19.72</v>
      </c>
      <c r="P11" s="56">
        <v>17.52</v>
      </c>
      <c r="Q11" s="133" t="s">
        <v>146</v>
      </c>
      <c r="R11" s="121"/>
      <c r="S11" s="121"/>
      <c r="T11" s="118"/>
      <c r="U11" s="80"/>
      <c r="V11" s="152"/>
      <c r="W11" s="121"/>
      <c r="X11" s="152"/>
      <c r="Y11" s="121"/>
      <c r="Z11" s="152"/>
      <c r="AA11" s="121"/>
      <c r="AB11" s="153"/>
      <c r="AC11" s="121"/>
      <c r="AD11" s="121"/>
      <c r="AE11" s="121"/>
    </row>
    <row r="12" spans="1:31" ht="15.75" customHeight="1">
      <c r="A12" s="51"/>
      <c r="B12" s="51" t="s">
        <v>19</v>
      </c>
      <c r="C12" s="52">
        <v>0.67013888888888884</v>
      </c>
      <c r="D12" s="56" t="s">
        <v>132</v>
      </c>
      <c r="E12" s="56" t="s">
        <v>132</v>
      </c>
      <c r="F12" s="56" t="s">
        <v>132</v>
      </c>
      <c r="G12" s="132" t="s">
        <v>147</v>
      </c>
      <c r="H12" s="121"/>
      <c r="I12" s="121"/>
      <c r="J12" s="121"/>
      <c r="K12" s="56" t="s">
        <v>132</v>
      </c>
      <c r="L12" s="56" t="s">
        <v>132</v>
      </c>
      <c r="M12" s="56" t="s">
        <v>132</v>
      </c>
      <c r="N12" s="56" t="s">
        <v>132</v>
      </c>
      <c r="O12" s="56" t="s">
        <v>132</v>
      </c>
      <c r="P12" s="56" t="s">
        <v>132</v>
      </c>
      <c r="Q12" s="133" t="s">
        <v>133</v>
      </c>
      <c r="R12" s="121"/>
      <c r="S12" s="121"/>
      <c r="T12" s="118"/>
      <c r="U12" s="80"/>
      <c r="V12" s="152"/>
      <c r="W12" s="121"/>
      <c r="X12" s="152"/>
      <c r="Y12" s="121"/>
      <c r="Z12" s="152"/>
      <c r="AA12" s="121"/>
      <c r="AB12" s="153"/>
      <c r="AC12" s="121"/>
      <c r="AD12" s="121"/>
      <c r="AE12" s="121"/>
    </row>
    <row r="13" spans="1:31" ht="15.75" customHeight="1">
      <c r="A13" s="51"/>
      <c r="B13" s="51" t="s">
        <v>37</v>
      </c>
      <c r="C13" s="52">
        <v>0.68055555555555558</v>
      </c>
      <c r="D13" s="56" t="s">
        <v>132</v>
      </c>
      <c r="E13" s="56" t="s">
        <v>132</v>
      </c>
      <c r="F13" s="56" t="s">
        <v>132</v>
      </c>
      <c r="G13" s="132" t="s">
        <v>132</v>
      </c>
      <c r="H13" s="121"/>
      <c r="I13" s="121"/>
      <c r="J13" s="121"/>
      <c r="K13" s="56" t="s">
        <v>132</v>
      </c>
      <c r="L13" s="56" t="s">
        <v>132</v>
      </c>
      <c r="M13" s="56" t="s">
        <v>132</v>
      </c>
      <c r="N13" s="56" t="s">
        <v>132</v>
      </c>
      <c r="O13" s="56" t="s">
        <v>132</v>
      </c>
      <c r="P13" s="56" t="s">
        <v>132</v>
      </c>
      <c r="Q13" s="133" t="s">
        <v>133</v>
      </c>
      <c r="R13" s="121"/>
      <c r="S13" s="121"/>
      <c r="T13" s="118"/>
      <c r="U13" s="80"/>
      <c r="V13" s="152"/>
      <c r="W13" s="121"/>
      <c r="X13" s="152"/>
      <c r="Y13" s="121"/>
      <c r="Z13" s="152"/>
      <c r="AA13" s="121"/>
      <c r="AB13" s="153"/>
      <c r="AC13" s="121"/>
      <c r="AD13" s="121"/>
      <c r="AE13" s="121"/>
    </row>
    <row r="14" spans="1:31" ht="15.75" customHeight="1">
      <c r="A14" s="51"/>
      <c r="B14" s="51" t="s">
        <v>30</v>
      </c>
      <c r="C14" s="52">
        <v>0.69444444444444442</v>
      </c>
      <c r="D14" s="56" t="s">
        <v>132</v>
      </c>
      <c r="E14" s="56" t="s">
        <v>132</v>
      </c>
      <c r="F14" s="56" t="s">
        <v>132</v>
      </c>
      <c r="G14" s="132" t="s">
        <v>132</v>
      </c>
      <c r="H14" s="121"/>
      <c r="I14" s="121"/>
      <c r="J14" s="121"/>
      <c r="K14" s="56" t="s">
        <v>132</v>
      </c>
      <c r="L14" s="56" t="s">
        <v>132</v>
      </c>
      <c r="M14" s="56" t="s">
        <v>132</v>
      </c>
      <c r="N14" s="56" t="s">
        <v>132</v>
      </c>
      <c r="O14" s="56" t="s">
        <v>132</v>
      </c>
      <c r="P14" s="56" t="s">
        <v>132</v>
      </c>
      <c r="Q14" s="133" t="s">
        <v>133</v>
      </c>
      <c r="R14" s="121"/>
      <c r="S14" s="121"/>
      <c r="T14" s="118"/>
      <c r="U14" s="39"/>
      <c r="V14" s="155"/>
      <c r="W14" s="121"/>
      <c r="X14" s="152"/>
      <c r="Y14" s="121"/>
      <c r="Z14" s="152"/>
      <c r="AA14" s="121"/>
      <c r="AB14" s="153"/>
      <c r="AC14" s="121"/>
      <c r="AD14" s="121"/>
      <c r="AE14" s="121"/>
    </row>
    <row r="15" spans="1:31" ht="15.75" customHeight="1">
      <c r="A15" s="51" t="s">
        <v>148</v>
      </c>
      <c r="B15" s="51" t="s">
        <v>33</v>
      </c>
      <c r="C15" s="87">
        <v>0.89583333333333337</v>
      </c>
      <c r="D15" s="56">
        <v>29.6</v>
      </c>
      <c r="E15" s="56">
        <v>74.599999999999994</v>
      </c>
      <c r="F15" s="56">
        <v>0</v>
      </c>
      <c r="G15" s="132" t="s">
        <v>149</v>
      </c>
      <c r="H15" s="121"/>
      <c r="I15" s="121"/>
      <c r="J15" s="121"/>
      <c r="K15" s="56">
        <v>50.8</v>
      </c>
      <c r="L15" s="56">
        <v>12.65</v>
      </c>
      <c r="M15" s="56">
        <v>110.61</v>
      </c>
      <c r="N15" s="56">
        <v>6.18</v>
      </c>
      <c r="O15" s="56">
        <v>0</v>
      </c>
      <c r="P15" s="56">
        <v>69.67</v>
      </c>
      <c r="Q15" s="134" t="s">
        <v>150</v>
      </c>
      <c r="R15" s="121"/>
      <c r="S15" s="121"/>
      <c r="T15" s="118"/>
      <c r="U15" s="80"/>
      <c r="V15" s="152"/>
      <c r="W15" s="121"/>
      <c r="X15" s="152"/>
      <c r="Y15" s="121"/>
      <c r="Z15" s="152"/>
      <c r="AA15" s="121"/>
      <c r="AB15" s="153"/>
      <c r="AC15" s="121"/>
      <c r="AD15" s="121"/>
      <c r="AE15" s="121"/>
    </row>
    <row r="16" spans="1:31" ht="15.75" customHeight="1">
      <c r="A16" s="51" t="s">
        <v>151</v>
      </c>
      <c r="B16" s="51" t="s">
        <v>33</v>
      </c>
      <c r="C16" s="88">
        <v>0.6875</v>
      </c>
      <c r="D16" s="56">
        <v>26.1</v>
      </c>
      <c r="E16" s="56">
        <v>81</v>
      </c>
      <c r="F16" s="56">
        <v>4220</v>
      </c>
      <c r="G16" s="132" t="s">
        <v>152</v>
      </c>
      <c r="H16" s="121"/>
      <c r="I16" s="121"/>
      <c r="J16" s="121"/>
      <c r="K16" s="56">
        <v>43.3</v>
      </c>
      <c r="L16" s="56">
        <v>149.16</v>
      </c>
      <c r="M16" s="56">
        <v>23.83</v>
      </c>
      <c r="N16" s="56">
        <v>43.84</v>
      </c>
      <c r="O16" s="56">
        <v>110.65</v>
      </c>
      <c r="P16" s="56">
        <v>23.04</v>
      </c>
      <c r="Q16" s="132" t="s">
        <v>153</v>
      </c>
      <c r="R16" s="121"/>
      <c r="S16" s="121"/>
      <c r="T16" s="118"/>
      <c r="U16" s="80"/>
      <c r="V16" s="152"/>
      <c r="W16" s="121"/>
      <c r="X16" s="152"/>
      <c r="Y16" s="121"/>
      <c r="Z16" s="152"/>
      <c r="AA16" s="121"/>
      <c r="AB16" s="153"/>
      <c r="AC16" s="121"/>
      <c r="AD16" s="121"/>
      <c r="AE16" s="121"/>
    </row>
    <row r="17" spans="1:31" ht="15.75" customHeight="1">
      <c r="A17" s="51" t="s">
        <v>154</v>
      </c>
      <c r="B17" s="51" t="s">
        <v>33</v>
      </c>
      <c r="C17" s="87">
        <v>0.1388888888888889</v>
      </c>
      <c r="D17" s="56">
        <v>25.4</v>
      </c>
      <c r="E17" s="56">
        <v>84.9</v>
      </c>
      <c r="F17" s="56">
        <v>0</v>
      </c>
      <c r="G17" s="132" t="s">
        <v>149</v>
      </c>
      <c r="H17" s="121"/>
      <c r="I17" s="121"/>
      <c r="J17" s="121"/>
      <c r="K17" s="56">
        <v>62.8</v>
      </c>
      <c r="L17" s="56">
        <v>42.08</v>
      </c>
      <c r="M17" s="56">
        <v>194</v>
      </c>
      <c r="N17" s="56">
        <v>30.67</v>
      </c>
      <c r="O17" s="56" t="s">
        <v>155</v>
      </c>
      <c r="P17" s="56">
        <v>243</v>
      </c>
      <c r="Q17" s="132" t="s">
        <v>132</v>
      </c>
      <c r="R17" s="121"/>
      <c r="S17" s="121"/>
      <c r="T17" s="118"/>
      <c r="U17" s="79"/>
      <c r="V17" s="148"/>
      <c r="W17" s="121"/>
      <c r="X17" s="148"/>
      <c r="Y17" s="121"/>
      <c r="Z17" s="148"/>
      <c r="AA17" s="121"/>
      <c r="AB17" s="149"/>
      <c r="AC17" s="121"/>
      <c r="AD17" s="121"/>
      <c r="AE17" s="121"/>
    </row>
    <row r="18" spans="1:31" ht="14">
      <c r="A18" s="51" t="s">
        <v>156</v>
      </c>
      <c r="B18" s="51" t="s">
        <v>33</v>
      </c>
      <c r="C18" s="88">
        <v>0.29444444444444445</v>
      </c>
      <c r="D18" s="56">
        <v>26.3</v>
      </c>
      <c r="E18" s="56">
        <v>85</v>
      </c>
      <c r="F18" s="56">
        <v>13130</v>
      </c>
      <c r="G18" s="132" t="s">
        <v>157</v>
      </c>
      <c r="H18" s="121"/>
      <c r="I18" s="121"/>
      <c r="J18" s="121"/>
      <c r="K18" s="56">
        <v>49.9</v>
      </c>
      <c r="L18" s="56">
        <v>42.14</v>
      </c>
      <c r="M18" s="56">
        <v>84.99</v>
      </c>
      <c r="N18" s="56">
        <v>35.200000000000003</v>
      </c>
      <c r="O18" s="56">
        <v>13.14</v>
      </c>
      <c r="P18" s="56">
        <v>25.19</v>
      </c>
      <c r="Q18" s="134"/>
      <c r="R18" s="121"/>
      <c r="S18" s="121"/>
      <c r="T18" s="118"/>
      <c r="U18" s="79"/>
      <c r="V18" s="148"/>
      <c r="W18" s="121"/>
      <c r="X18" s="148"/>
      <c r="Y18" s="121"/>
      <c r="Z18" s="148"/>
      <c r="AA18" s="121"/>
      <c r="AB18" s="149"/>
      <c r="AC18" s="121"/>
      <c r="AD18" s="121"/>
      <c r="AE18" s="121"/>
    </row>
    <row r="19" spans="1:31" ht="12.5">
      <c r="A19" s="51" t="s">
        <v>158</v>
      </c>
      <c r="B19" s="60" t="s">
        <v>33</v>
      </c>
      <c r="C19" s="89">
        <v>0.70694444444444449</v>
      </c>
      <c r="D19" s="62">
        <v>29.7</v>
      </c>
      <c r="E19" s="62">
        <v>68</v>
      </c>
      <c r="F19" s="62">
        <v>1955</v>
      </c>
      <c r="G19" s="145" t="s">
        <v>159</v>
      </c>
      <c r="H19" s="121"/>
      <c r="I19" s="121"/>
      <c r="J19" s="118"/>
      <c r="K19" s="62">
        <v>86.3</v>
      </c>
      <c r="L19" s="62">
        <v>183.25</v>
      </c>
      <c r="M19" s="62">
        <v>84.3</v>
      </c>
      <c r="N19" s="62">
        <v>120</v>
      </c>
      <c r="O19" s="62">
        <v>174</v>
      </c>
      <c r="P19" s="62" t="s">
        <v>155</v>
      </c>
      <c r="Q19" s="124"/>
      <c r="R19" s="121"/>
      <c r="S19" s="121"/>
      <c r="T19" s="118"/>
      <c r="U19" s="79"/>
      <c r="V19" s="148"/>
      <c r="W19" s="121"/>
      <c r="X19" s="148"/>
      <c r="Y19" s="121"/>
      <c r="Z19" s="148"/>
      <c r="AA19" s="121"/>
      <c r="AB19" s="149"/>
      <c r="AC19" s="121"/>
      <c r="AD19" s="121"/>
      <c r="AE19" s="121"/>
    </row>
    <row r="20" spans="1:31" ht="14">
      <c r="A20" s="51" t="s">
        <v>162</v>
      </c>
      <c r="B20" s="51" t="s">
        <v>33</v>
      </c>
      <c r="C20" s="90">
        <v>0.1388888888888889</v>
      </c>
      <c r="D20" s="56">
        <v>25.3</v>
      </c>
      <c r="E20" s="56">
        <v>86.6</v>
      </c>
      <c r="F20" s="56">
        <v>0</v>
      </c>
      <c r="G20" s="132" t="s">
        <v>149</v>
      </c>
      <c r="H20" s="121"/>
      <c r="I20" s="121"/>
      <c r="J20" s="121"/>
      <c r="K20" s="56">
        <v>70.8</v>
      </c>
      <c r="L20" s="56">
        <v>19.79</v>
      </c>
      <c r="M20" s="56">
        <v>245</v>
      </c>
      <c r="N20" s="56">
        <v>12.29</v>
      </c>
      <c r="O20" s="56">
        <v>226</v>
      </c>
      <c r="P20" s="56">
        <v>341</v>
      </c>
      <c r="Q20" s="134"/>
      <c r="R20" s="121"/>
      <c r="S20" s="121"/>
      <c r="T20" s="118"/>
      <c r="U20" s="11"/>
      <c r="V20" s="146"/>
      <c r="W20" s="121"/>
      <c r="X20" s="146"/>
      <c r="Y20" s="121"/>
      <c r="Z20" s="146"/>
      <c r="AA20" s="121"/>
      <c r="AB20" s="154"/>
      <c r="AC20" s="121"/>
      <c r="AD20" s="121"/>
      <c r="AE20" s="121"/>
    </row>
    <row r="21" spans="1:31" ht="14">
      <c r="A21" s="51" t="s">
        <v>163</v>
      </c>
      <c r="B21" s="51" t="s">
        <v>39</v>
      </c>
      <c r="C21" s="52">
        <v>0.60486111111111107</v>
      </c>
      <c r="D21" s="56">
        <v>31.2</v>
      </c>
      <c r="E21" s="56">
        <v>74.900000000000006</v>
      </c>
      <c r="F21" s="56">
        <v>12910</v>
      </c>
      <c r="G21" s="132" t="s">
        <v>152</v>
      </c>
      <c r="H21" s="121"/>
      <c r="I21" s="121"/>
      <c r="J21" s="121"/>
      <c r="K21" s="56">
        <v>27</v>
      </c>
      <c r="L21" s="56">
        <v>12.49</v>
      </c>
      <c r="M21" s="56">
        <v>142</v>
      </c>
      <c r="N21" s="56">
        <v>380</v>
      </c>
      <c r="O21" s="56">
        <v>68.33</v>
      </c>
      <c r="P21" s="56">
        <v>228</v>
      </c>
      <c r="Q21" s="134" t="s">
        <v>164</v>
      </c>
      <c r="R21" s="121"/>
      <c r="S21" s="121"/>
      <c r="T21" s="118"/>
      <c r="U21" s="11"/>
      <c r="V21" s="146"/>
      <c r="W21" s="121"/>
      <c r="X21" s="146"/>
      <c r="Y21" s="121"/>
      <c r="Z21" s="146"/>
      <c r="AA21" s="121"/>
      <c r="AB21" s="154"/>
      <c r="AC21" s="121"/>
      <c r="AD21" s="121"/>
      <c r="AE21" s="121"/>
    </row>
    <row r="22" spans="1:31" ht="14">
      <c r="A22" s="51" t="s">
        <v>165</v>
      </c>
      <c r="B22" s="51" t="s">
        <v>44</v>
      </c>
      <c r="C22" s="52">
        <v>0.61458333333333337</v>
      </c>
      <c r="D22" s="56">
        <v>31.3</v>
      </c>
      <c r="E22" s="56">
        <v>75.7</v>
      </c>
      <c r="F22" s="56">
        <v>13360</v>
      </c>
      <c r="G22" s="132" t="s">
        <v>152</v>
      </c>
      <c r="H22" s="121"/>
      <c r="I22" s="121"/>
      <c r="J22" s="121"/>
      <c r="K22" s="56">
        <v>45.6</v>
      </c>
      <c r="L22" s="56">
        <v>46.51</v>
      </c>
      <c r="M22" s="56">
        <v>26.96</v>
      </c>
      <c r="N22" s="56">
        <v>27.09</v>
      </c>
      <c r="O22" s="56">
        <v>50.93</v>
      </c>
      <c r="P22" s="56">
        <v>49.3</v>
      </c>
      <c r="Q22" s="134"/>
      <c r="R22" s="121"/>
      <c r="S22" s="121"/>
      <c r="T22" s="118"/>
      <c r="U22" s="11"/>
      <c r="V22" s="146"/>
      <c r="W22" s="121"/>
      <c r="X22" s="146"/>
      <c r="Y22" s="121"/>
      <c r="Z22" s="146"/>
      <c r="AA22" s="121"/>
      <c r="AB22" s="154"/>
      <c r="AC22" s="121"/>
      <c r="AD22" s="121"/>
      <c r="AE22" s="121"/>
    </row>
    <row r="23" spans="1:31" ht="14">
      <c r="A23" s="51"/>
      <c r="B23" s="51" t="s">
        <v>33</v>
      </c>
      <c r="C23" s="52">
        <v>0.625</v>
      </c>
      <c r="D23" s="56">
        <v>31.1</v>
      </c>
      <c r="E23" s="56">
        <v>730</v>
      </c>
      <c r="F23" s="56">
        <v>8080</v>
      </c>
      <c r="G23" s="132" t="s">
        <v>152</v>
      </c>
      <c r="H23" s="121"/>
      <c r="I23" s="121"/>
      <c r="J23" s="121"/>
      <c r="K23" s="56">
        <v>123.7</v>
      </c>
      <c r="L23" s="56">
        <v>60.87</v>
      </c>
      <c r="M23" s="56">
        <v>15.59</v>
      </c>
      <c r="N23" s="56">
        <v>19.03</v>
      </c>
      <c r="O23" s="56">
        <v>25.48</v>
      </c>
      <c r="P23" s="56">
        <v>54.14</v>
      </c>
      <c r="Q23" s="134"/>
      <c r="R23" s="121"/>
      <c r="S23" s="121"/>
      <c r="T23" s="118"/>
      <c r="U23" s="11"/>
      <c r="V23" s="146"/>
      <c r="W23" s="121"/>
      <c r="X23" s="146"/>
      <c r="Y23" s="121"/>
      <c r="Z23" s="146"/>
      <c r="AA23" s="121"/>
      <c r="AB23" s="154"/>
      <c r="AC23" s="121"/>
      <c r="AD23" s="121"/>
      <c r="AE23" s="121"/>
    </row>
    <row r="24" spans="1:31" ht="14">
      <c r="A24" s="51"/>
      <c r="B24" s="51" t="s">
        <v>23</v>
      </c>
      <c r="C24" s="54" t="s">
        <v>132</v>
      </c>
      <c r="D24" s="56" t="s">
        <v>132</v>
      </c>
      <c r="E24" s="56" t="s">
        <v>132</v>
      </c>
      <c r="F24" s="56" t="s">
        <v>132</v>
      </c>
      <c r="G24" s="132" t="s">
        <v>132</v>
      </c>
      <c r="H24" s="121"/>
      <c r="I24" s="121"/>
      <c r="J24" s="118"/>
      <c r="K24" s="56" t="s">
        <v>132</v>
      </c>
      <c r="L24" s="56" t="s">
        <v>132</v>
      </c>
      <c r="M24" s="56" t="s">
        <v>132</v>
      </c>
      <c r="N24" s="56" t="s">
        <v>132</v>
      </c>
      <c r="O24" s="56" t="s">
        <v>132</v>
      </c>
      <c r="P24" s="56" t="s">
        <v>132</v>
      </c>
      <c r="Q24" s="137" t="s">
        <v>133</v>
      </c>
      <c r="R24" s="121"/>
      <c r="S24" s="121"/>
      <c r="T24" s="118"/>
      <c r="U24" s="11"/>
      <c r="V24" s="146"/>
      <c r="W24" s="121"/>
      <c r="X24" s="146"/>
      <c r="Y24" s="121"/>
      <c r="Z24" s="146"/>
      <c r="AA24" s="121"/>
      <c r="AB24" s="154"/>
      <c r="AC24" s="121"/>
      <c r="AD24" s="121"/>
      <c r="AE24" s="121"/>
    </row>
    <row r="25" spans="1:31" ht="14">
      <c r="A25" s="51"/>
      <c r="B25" s="51" t="s">
        <v>42</v>
      </c>
      <c r="C25" s="52">
        <v>0.64236111111111116</v>
      </c>
      <c r="D25" s="56">
        <v>30.7</v>
      </c>
      <c r="E25" s="56">
        <v>8.0500000000000007</v>
      </c>
      <c r="F25" s="56">
        <v>5591</v>
      </c>
      <c r="G25" s="132" t="s">
        <v>152</v>
      </c>
      <c r="H25" s="121"/>
      <c r="I25" s="121"/>
      <c r="J25" s="121"/>
      <c r="K25" s="56">
        <v>26.8</v>
      </c>
      <c r="L25" s="56">
        <v>6.33</v>
      </c>
      <c r="M25" s="56">
        <v>23.61</v>
      </c>
      <c r="N25" s="56">
        <v>5.57</v>
      </c>
      <c r="O25" s="56">
        <v>61.2</v>
      </c>
      <c r="P25" s="56">
        <v>52.13</v>
      </c>
      <c r="Q25" s="132" t="s">
        <v>166</v>
      </c>
      <c r="R25" s="121"/>
      <c r="S25" s="121"/>
      <c r="T25" s="118"/>
      <c r="U25" s="11"/>
      <c r="V25" s="146"/>
      <c r="W25" s="121"/>
      <c r="X25" s="146"/>
      <c r="Y25" s="121"/>
      <c r="Z25" s="146"/>
      <c r="AA25" s="121"/>
      <c r="AB25" s="154"/>
      <c r="AC25" s="121"/>
      <c r="AD25" s="121"/>
      <c r="AE25" s="121"/>
    </row>
    <row r="26" spans="1:31" ht="12.5">
      <c r="A26" s="51"/>
      <c r="B26" s="51" t="s">
        <v>48</v>
      </c>
      <c r="C26" s="52">
        <v>0.65694444444444444</v>
      </c>
      <c r="D26" s="53"/>
      <c r="E26" s="53"/>
      <c r="F26" s="53"/>
      <c r="G26" s="134"/>
      <c r="H26" s="121"/>
      <c r="I26" s="121"/>
      <c r="J26" s="121"/>
      <c r="K26" s="53"/>
      <c r="L26" s="53"/>
      <c r="M26" s="53"/>
      <c r="N26" s="53"/>
      <c r="O26" s="53"/>
      <c r="P26" s="53"/>
      <c r="Q26" s="137" t="s">
        <v>133</v>
      </c>
      <c r="R26" s="121"/>
      <c r="S26" s="121"/>
      <c r="T26" s="118"/>
      <c r="U26" s="11"/>
      <c r="V26" s="146"/>
      <c r="W26" s="121"/>
      <c r="X26" s="146"/>
      <c r="Y26" s="121"/>
      <c r="Z26" s="146"/>
      <c r="AA26" s="121"/>
      <c r="AB26" s="154"/>
      <c r="AC26" s="121"/>
      <c r="AD26" s="121"/>
      <c r="AE26" s="121"/>
    </row>
    <row r="27" spans="1:31" ht="14">
      <c r="A27" s="51"/>
      <c r="B27" s="51" t="s">
        <v>46</v>
      </c>
      <c r="C27" s="52">
        <v>0.6694444444444444</v>
      </c>
      <c r="D27" s="56">
        <v>30.5</v>
      </c>
      <c r="E27" s="56">
        <v>77.2</v>
      </c>
      <c r="F27" s="56">
        <v>1168</v>
      </c>
      <c r="G27" s="132" t="s">
        <v>134</v>
      </c>
      <c r="H27" s="121"/>
      <c r="I27" s="121"/>
      <c r="J27" s="121"/>
      <c r="K27" s="56">
        <v>59.1</v>
      </c>
      <c r="L27" s="56">
        <v>28.39</v>
      </c>
      <c r="M27" s="56">
        <v>97.15</v>
      </c>
      <c r="N27" s="56">
        <v>314</v>
      </c>
      <c r="O27" s="56">
        <v>59.41</v>
      </c>
      <c r="P27" s="56">
        <v>57.7</v>
      </c>
      <c r="Q27" s="134"/>
      <c r="R27" s="121"/>
      <c r="S27" s="121"/>
      <c r="T27" s="118"/>
      <c r="U27" s="11"/>
      <c r="V27" s="146"/>
      <c r="W27" s="121"/>
      <c r="X27" s="146"/>
      <c r="Y27" s="121"/>
      <c r="Z27" s="146"/>
      <c r="AA27" s="121"/>
      <c r="AB27" s="147"/>
      <c r="AC27" s="121"/>
      <c r="AD27" s="121"/>
      <c r="AE27" s="121"/>
    </row>
    <row r="28" spans="1:31" ht="14">
      <c r="A28" s="65" t="s">
        <v>167</v>
      </c>
      <c r="B28" s="65" t="s">
        <v>46</v>
      </c>
      <c r="C28" s="91">
        <v>0.49305555555555558</v>
      </c>
      <c r="D28" s="56">
        <v>25.4</v>
      </c>
      <c r="E28" s="56">
        <v>86.6</v>
      </c>
      <c r="F28" s="56">
        <v>0</v>
      </c>
      <c r="G28" s="132" t="s">
        <v>149</v>
      </c>
      <c r="H28" s="121"/>
      <c r="I28" s="121"/>
      <c r="J28" s="121"/>
      <c r="K28" s="56">
        <v>754.3</v>
      </c>
      <c r="L28" s="56">
        <v>30.48</v>
      </c>
      <c r="M28" s="56">
        <v>348</v>
      </c>
      <c r="N28" s="56">
        <v>83.01</v>
      </c>
      <c r="O28" s="56">
        <v>31.49</v>
      </c>
      <c r="P28" s="56">
        <v>443</v>
      </c>
      <c r="Q28" s="134"/>
      <c r="R28" s="121"/>
      <c r="S28" s="121"/>
      <c r="T28" s="118"/>
      <c r="U28" s="11"/>
      <c r="V28" s="146"/>
      <c r="W28" s="121"/>
      <c r="X28" s="146"/>
      <c r="Y28" s="121"/>
      <c r="Z28" s="146"/>
      <c r="AA28" s="121"/>
      <c r="AB28" s="147"/>
      <c r="AC28" s="121"/>
      <c r="AD28" s="121"/>
      <c r="AE28" s="121"/>
    </row>
    <row r="29" spans="1:31" ht="14">
      <c r="A29" s="51"/>
      <c r="B29" s="65" t="s">
        <v>39</v>
      </c>
      <c r="C29" s="91">
        <v>0.50347222222222221</v>
      </c>
      <c r="D29" s="56">
        <v>26.3</v>
      </c>
      <c r="E29" s="56">
        <v>82.2</v>
      </c>
      <c r="F29" s="56">
        <v>0</v>
      </c>
      <c r="G29" s="132" t="s">
        <v>149</v>
      </c>
      <c r="H29" s="121"/>
      <c r="I29" s="121"/>
      <c r="J29" s="121"/>
      <c r="K29" s="56">
        <v>76.900000000000006</v>
      </c>
      <c r="L29" s="56">
        <v>18.829999999999998</v>
      </c>
      <c r="M29" s="56">
        <v>960</v>
      </c>
      <c r="N29" s="56">
        <v>33.17</v>
      </c>
      <c r="O29" s="56">
        <v>66.290000000000006</v>
      </c>
      <c r="P29" s="56">
        <v>200</v>
      </c>
      <c r="Q29" s="134"/>
      <c r="R29" s="121"/>
      <c r="S29" s="121"/>
      <c r="T29" s="118"/>
      <c r="U29" s="11"/>
      <c r="V29" s="146"/>
      <c r="W29" s="121"/>
      <c r="X29" s="146"/>
      <c r="Y29" s="121"/>
      <c r="Z29" s="146"/>
      <c r="AA29" s="121"/>
      <c r="AB29" s="147"/>
      <c r="AC29" s="121"/>
      <c r="AD29" s="121"/>
      <c r="AE29" s="121"/>
    </row>
    <row r="30" spans="1:31" ht="14">
      <c r="A30" s="51"/>
      <c r="B30" s="65" t="s">
        <v>42</v>
      </c>
      <c r="C30" s="91">
        <v>0.51249999999999996</v>
      </c>
      <c r="D30" s="56">
        <v>26.5</v>
      </c>
      <c r="E30" s="56">
        <v>82.9</v>
      </c>
      <c r="F30" s="56">
        <v>0</v>
      </c>
      <c r="G30" s="132" t="s">
        <v>149</v>
      </c>
      <c r="H30" s="121"/>
      <c r="I30" s="121"/>
      <c r="J30" s="121"/>
      <c r="K30" s="56">
        <v>78.7</v>
      </c>
      <c r="L30" s="56">
        <v>45.7</v>
      </c>
      <c r="M30" s="56">
        <v>24.14</v>
      </c>
      <c r="N30" s="56">
        <v>56.96</v>
      </c>
      <c r="O30" s="56">
        <v>35.340000000000003</v>
      </c>
      <c r="P30" s="56">
        <v>29.2</v>
      </c>
      <c r="Q30" s="134"/>
      <c r="R30" s="121"/>
      <c r="S30" s="121"/>
      <c r="T30" s="118"/>
      <c r="U30" s="11"/>
      <c r="V30" s="146"/>
      <c r="W30" s="121"/>
      <c r="X30" s="146"/>
      <c r="Y30" s="121"/>
      <c r="Z30" s="146"/>
      <c r="AA30" s="121"/>
      <c r="AB30" s="147"/>
      <c r="AC30" s="121"/>
      <c r="AD30" s="121"/>
      <c r="AE30" s="121"/>
    </row>
    <row r="31" spans="1:31" ht="14">
      <c r="A31" s="51"/>
      <c r="B31" s="65" t="s">
        <v>33</v>
      </c>
      <c r="C31" s="91">
        <v>0.51736111111111116</v>
      </c>
      <c r="D31" s="56">
        <v>26.6</v>
      </c>
      <c r="E31" s="56">
        <v>80.7</v>
      </c>
      <c r="F31" s="56">
        <v>0</v>
      </c>
      <c r="G31" s="132" t="s">
        <v>149</v>
      </c>
      <c r="H31" s="121"/>
      <c r="I31" s="121"/>
      <c r="J31" s="121"/>
      <c r="K31" s="56">
        <v>157.5</v>
      </c>
      <c r="L31" s="56">
        <v>24.37</v>
      </c>
      <c r="M31" s="56" t="s">
        <v>155</v>
      </c>
      <c r="N31" s="56">
        <v>208</v>
      </c>
      <c r="O31" s="56">
        <v>22.98</v>
      </c>
      <c r="P31" s="56">
        <v>423</v>
      </c>
      <c r="Q31" s="134"/>
      <c r="R31" s="121"/>
      <c r="S31" s="121"/>
      <c r="T31" s="118"/>
      <c r="U31" s="11"/>
      <c r="V31" s="146"/>
      <c r="W31" s="121"/>
      <c r="X31" s="146"/>
      <c r="Y31" s="121"/>
      <c r="Z31" s="146"/>
      <c r="AA31" s="121"/>
      <c r="AB31" s="147"/>
      <c r="AC31" s="121"/>
      <c r="AD31" s="121"/>
      <c r="AE31" s="121"/>
    </row>
    <row r="32" spans="1:31" ht="14">
      <c r="B32" s="65" t="s">
        <v>44</v>
      </c>
      <c r="C32" s="91">
        <v>0.51736111111111116</v>
      </c>
      <c r="D32" s="56">
        <v>26.6</v>
      </c>
      <c r="E32" s="56">
        <v>80.400000000000006</v>
      </c>
      <c r="F32" s="56">
        <v>0</v>
      </c>
      <c r="G32" s="132" t="s">
        <v>149</v>
      </c>
      <c r="H32" s="121"/>
      <c r="I32" s="121"/>
      <c r="J32" s="121"/>
      <c r="K32" s="56">
        <v>133.19999999999999</v>
      </c>
      <c r="L32" s="56">
        <v>19.170000000000002</v>
      </c>
      <c r="M32" s="56" t="s">
        <v>155</v>
      </c>
      <c r="N32" s="56">
        <v>141.33000000000001</v>
      </c>
      <c r="O32" s="56">
        <v>132.5</v>
      </c>
      <c r="P32" s="56">
        <v>490</v>
      </c>
      <c r="Q32" s="134"/>
      <c r="R32" s="121"/>
      <c r="S32" s="121"/>
      <c r="T32" s="118"/>
      <c r="U32" s="11"/>
      <c r="V32" s="146"/>
      <c r="W32" s="121"/>
      <c r="X32" s="146"/>
      <c r="Y32" s="121"/>
      <c r="Z32" s="146"/>
      <c r="AA32" s="121"/>
      <c r="AB32" s="147"/>
      <c r="AC32" s="121"/>
      <c r="AD32" s="121"/>
      <c r="AE32" s="121"/>
    </row>
    <row r="33" spans="1:31" ht="14">
      <c r="A33" s="65" t="s">
        <v>168</v>
      </c>
      <c r="B33" s="65" t="s">
        <v>42</v>
      </c>
      <c r="C33" s="66">
        <v>0.30208333333333331</v>
      </c>
      <c r="D33" s="56">
        <v>26.4</v>
      </c>
      <c r="E33" s="56">
        <v>89.3</v>
      </c>
      <c r="F33" s="56" t="s">
        <v>169</v>
      </c>
      <c r="G33" s="132" t="s">
        <v>170</v>
      </c>
      <c r="H33" s="121"/>
      <c r="I33" s="121"/>
      <c r="J33" s="121"/>
      <c r="K33" s="56">
        <v>51.7</v>
      </c>
      <c r="L33" s="56">
        <v>35.51</v>
      </c>
      <c r="M33" s="56">
        <v>64.150000000000006</v>
      </c>
      <c r="N33" s="56">
        <v>73.33</v>
      </c>
      <c r="O33" s="56">
        <v>14.71</v>
      </c>
      <c r="P33" s="56">
        <v>8.34</v>
      </c>
      <c r="Q33" s="132" t="s">
        <v>171</v>
      </c>
      <c r="R33" s="121"/>
      <c r="S33" s="121"/>
      <c r="T33" s="118"/>
      <c r="U33" s="11"/>
      <c r="V33" s="146"/>
      <c r="W33" s="121"/>
      <c r="X33" s="146"/>
      <c r="Y33" s="121"/>
      <c r="Z33" s="146"/>
      <c r="AA33" s="121"/>
      <c r="AB33" s="147"/>
      <c r="AC33" s="121"/>
      <c r="AD33" s="121"/>
      <c r="AE33" s="121"/>
    </row>
    <row r="34" spans="1:31" ht="14">
      <c r="A34" s="51"/>
      <c r="B34" s="65" t="s">
        <v>44</v>
      </c>
      <c r="C34" s="66">
        <v>0.31041666666666667</v>
      </c>
      <c r="D34" s="56">
        <v>30.7</v>
      </c>
      <c r="E34" s="56">
        <v>74.8</v>
      </c>
      <c r="F34" s="56" t="s">
        <v>172</v>
      </c>
      <c r="G34" s="132" t="s">
        <v>173</v>
      </c>
      <c r="H34" s="121"/>
      <c r="I34" s="121"/>
      <c r="J34" s="121"/>
      <c r="K34" s="56">
        <v>34.4</v>
      </c>
      <c r="L34" s="56">
        <v>33.299999999999997</v>
      </c>
      <c r="M34" s="56">
        <v>46.46</v>
      </c>
      <c r="N34" s="56">
        <v>69.56</v>
      </c>
      <c r="O34" s="56">
        <v>49.57</v>
      </c>
      <c r="P34" s="56">
        <v>29.14</v>
      </c>
      <c r="Q34" s="132" t="s">
        <v>174</v>
      </c>
      <c r="R34" s="121"/>
      <c r="S34" s="121"/>
      <c r="T34" s="118"/>
      <c r="U34" s="11"/>
      <c r="V34" s="146"/>
      <c r="W34" s="121"/>
      <c r="X34" s="146"/>
      <c r="Y34" s="121"/>
      <c r="Z34" s="146"/>
      <c r="AA34" s="121"/>
      <c r="AB34" s="147"/>
      <c r="AC34" s="121"/>
      <c r="AD34" s="121"/>
      <c r="AE34" s="121"/>
    </row>
    <row r="35" spans="1:31" ht="14">
      <c r="A35" s="51"/>
      <c r="B35" s="65" t="s">
        <v>33</v>
      </c>
      <c r="C35" s="66">
        <v>0.31111111111111112</v>
      </c>
      <c r="D35" s="56">
        <v>31.3</v>
      </c>
      <c r="E35" s="56">
        <v>73.7</v>
      </c>
      <c r="F35" s="56" t="s">
        <v>175</v>
      </c>
      <c r="G35" s="132" t="s">
        <v>176</v>
      </c>
      <c r="H35" s="121"/>
      <c r="I35" s="121"/>
      <c r="J35" s="121"/>
      <c r="K35" s="56">
        <v>126.6</v>
      </c>
      <c r="L35" s="56">
        <v>17.260000000000002</v>
      </c>
      <c r="M35" s="56">
        <v>86.56</v>
      </c>
      <c r="N35" s="56">
        <v>5.63</v>
      </c>
      <c r="O35" s="56">
        <v>192</v>
      </c>
      <c r="P35" s="56">
        <v>292</v>
      </c>
      <c r="Q35" s="132" t="s">
        <v>177</v>
      </c>
      <c r="R35" s="121"/>
      <c r="S35" s="121"/>
      <c r="T35" s="118"/>
      <c r="U35" s="11"/>
      <c r="V35" s="146"/>
      <c r="W35" s="121"/>
      <c r="X35" s="146"/>
      <c r="Y35" s="121"/>
      <c r="Z35" s="146"/>
      <c r="AA35" s="121"/>
      <c r="AB35" s="147"/>
      <c r="AC35" s="121"/>
      <c r="AD35" s="121"/>
      <c r="AE35" s="121"/>
    </row>
    <row r="36" spans="1:31" ht="14">
      <c r="A36" s="51"/>
      <c r="B36" s="65" t="s">
        <v>39</v>
      </c>
      <c r="C36" s="92">
        <v>0.33124999999999999</v>
      </c>
      <c r="D36" s="56">
        <v>33</v>
      </c>
      <c r="E36" s="56">
        <v>66.7</v>
      </c>
      <c r="F36" s="56">
        <v>4790</v>
      </c>
      <c r="G36" s="132" t="s">
        <v>178</v>
      </c>
      <c r="H36" s="121"/>
      <c r="I36" s="121"/>
      <c r="J36" s="121"/>
      <c r="K36" s="56">
        <v>28</v>
      </c>
      <c r="L36" s="56">
        <v>35.57</v>
      </c>
      <c r="M36" s="56">
        <v>38.71</v>
      </c>
      <c r="N36" s="56">
        <v>111.02</v>
      </c>
      <c r="O36" s="56">
        <v>78.03</v>
      </c>
      <c r="P36" s="56">
        <v>115.57</v>
      </c>
      <c r="Q36" s="132" t="s">
        <v>179</v>
      </c>
      <c r="R36" s="121"/>
      <c r="S36" s="121"/>
      <c r="T36" s="118"/>
      <c r="U36" s="11"/>
      <c r="V36" s="146"/>
      <c r="W36" s="121"/>
      <c r="X36" s="146"/>
      <c r="Y36" s="121"/>
      <c r="Z36" s="146"/>
      <c r="AA36" s="121"/>
      <c r="AB36" s="147"/>
      <c r="AC36" s="121"/>
      <c r="AD36" s="121"/>
      <c r="AE36" s="121"/>
    </row>
    <row r="37" spans="1:31" ht="14">
      <c r="A37" s="51"/>
      <c r="B37" s="65" t="s">
        <v>46</v>
      </c>
      <c r="C37" s="92">
        <v>0.34027777777777779</v>
      </c>
      <c r="D37" s="56">
        <v>36</v>
      </c>
      <c r="E37" s="56">
        <v>59.2</v>
      </c>
      <c r="F37" s="56">
        <v>809</v>
      </c>
      <c r="G37" s="132" t="s">
        <v>180</v>
      </c>
      <c r="H37" s="121"/>
      <c r="I37" s="121"/>
      <c r="J37" s="121"/>
      <c r="K37" s="56">
        <v>67.7</v>
      </c>
      <c r="L37" s="56">
        <v>12.52</v>
      </c>
      <c r="M37" s="56">
        <v>111.98</v>
      </c>
      <c r="N37" s="56">
        <v>21.96</v>
      </c>
      <c r="O37" s="56">
        <v>81.62</v>
      </c>
      <c r="P37" s="56">
        <v>65.89</v>
      </c>
      <c r="Q37" s="135" t="s">
        <v>181</v>
      </c>
      <c r="R37" s="121"/>
      <c r="S37" s="121"/>
      <c r="T37" s="118"/>
      <c r="U37" s="11"/>
      <c r="V37" s="146"/>
      <c r="W37" s="121"/>
      <c r="X37" s="146"/>
      <c r="Y37" s="121"/>
      <c r="Z37" s="146"/>
      <c r="AA37" s="121"/>
      <c r="AB37" s="147"/>
      <c r="AC37" s="121"/>
      <c r="AD37" s="121"/>
      <c r="AE37" s="121"/>
    </row>
    <row r="38" spans="1:31" ht="14">
      <c r="A38" s="65" t="s">
        <v>182</v>
      </c>
      <c r="B38" s="65" t="s">
        <v>39</v>
      </c>
      <c r="C38" s="92">
        <v>0.46458333333333335</v>
      </c>
      <c r="D38" s="56">
        <v>33.700000000000003</v>
      </c>
      <c r="E38" s="56">
        <v>67.7</v>
      </c>
      <c r="F38" s="56">
        <v>8930</v>
      </c>
      <c r="G38" s="132" t="s">
        <v>183</v>
      </c>
      <c r="H38" s="121"/>
      <c r="I38" s="121"/>
      <c r="J38" s="121"/>
      <c r="K38" s="53">
        <v>27.4</v>
      </c>
      <c r="L38" s="53">
        <v>27.94</v>
      </c>
      <c r="M38" s="53">
        <v>34.49</v>
      </c>
      <c r="N38" s="53">
        <v>10.4</v>
      </c>
      <c r="O38" s="53">
        <v>15.43</v>
      </c>
      <c r="P38" s="53">
        <v>31.49</v>
      </c>
      <c r="Q38" s="134"/>
      <c r="R38" s="121"/>
      <c r="S38" s="121"/>
      <c r="T38" s="118"/>
      <c r="U38" s="11"/>
      <c r="V38" s="146"/>
      <c r="W38" s="121"/>
      <c r="X38" s="146"/>
      <c r="Y38" s="121"/>
      <c r="Z38" s="146"/>
      <c r="AA38" s="121"/>
      <c r="AB38" s="147"/>
      <c r="AC38" s="121"/>
      <c r="AD38" s="121"/>
      <c r="AE38" s="121"/>
    </row>
    <row r="39" spans="1:31" ht="14">
      <c r="A39" s="51"/>
      <c r="B39" s="65" t="s">
        <v>46</v>
      </c>
      <c r="C39" s="92">
        <v>0.47430555555555554</v>
      </c>
      <c r="D39" s="56">
        <v>36</v>
      </c>
      <c r="E39" s="56">
        <v>64.099999999999994</v>
      </c>
      <c r="F39" s="56">
        <v>889</v>
      </c>
      <c r="G39" s="132" t="s">
        <v>184</v>
      </c>
      <c r="H39" s="121"/>
      <c r="I39" s="121"/>
      <c r="J39" s="121"/>
      <c r="K39" s="53">
        <v>0</v>
      </c>
      <c r="L39" s="53" t="s">
        <v>72</v>
      </c>
      <c r="M39" s="53" t="s">
        <v>72</v>
      </c>
      <c r="N39" s="53" t="s">
        <v>72</v>
      </c>
      <c r="O39" s="53" t="s">
        <v>72</v>
      </c>
      <c r="P39" s="53" t="s">
        <v>72</v>
      </c>
      <c r="Q39" s="134" t="s">
        <v>185</v>
      </c>
      <c r="R39" s="121"/>
      <c r="S39" s="121"/>
      <c r="T39" s="118"/>
      <c r="U39" s="11"/>
      <c r="V39" s="146"/>
      <c r="W39" s="121"/>
      <c r="X39" s="146"/>
      <c r="Y39" s="121"/>
      <c r="Z39" s="146"/>
      <c r="AA39" s="121"/>
      <c r="AB39" s="147"/>
      <c r="AC39" s="121"/>
      <c r="AD39" s="121"/>
      <c r="AE39" s="121"/>
    </row>
    <row r="40" spans="1:31" ht="14">
      <c r="A40" s="51"/>
      <c r="B40" s="65" t="s">
        <v>42</v>
      </c>
      <c r="C40" s="92">
        <v>0.47847222222222224</v>
      </c>
      <c r="D40" s="56">
        <v>37.5</v>
      </c>
      <c r="E40" s="56">
        <v>58.2</v>
      </c>
      <c r="F40" s="56">
        <v>10070</v>
      </c>
      <c r="G40" s="134" t="s">
        <v>186</v>
      </c>
      <c r="H40" s="121"/>
      <c r="I40" s="121"/>
      <c r="J40" s="121"/>
      <c r="K40" s="53">
        <v>51</v>
      </c>
      <c r="L40" s="53">
        <v>21.07</v>
      </c>
      <c r="M40" s="53">
        <v>9.48</v>
      </c>
      <c r="N40" s="53">
        <v>31.02</v>
      </c>
      <c r="O40" s="53">
        <v>19</v>
      </c>
      <c r="P40" s="53">
        <v>55.78</v>
      </c>
      <c r="Q40" s="134"/>
      <c r="R40" s="121"/>
      <c r="S40" s="121"/>
      <c r="T40" s="118"/>
      <c r="U40" s="11"/>
      <c r="V40" s="146"/>
      <c r="W40" s="121"/>
      <c r="X40" s="146"/>
      <c r="Y40" s="121"/>
      <c r="Z40" s="146"/>
      <c r="AA40" s="121"/>
      <c r="AB40" s="147"/>
      <c r="AC40" s="121"/>
      <c r="AD40" s="121"/>
      <c r="AE40" s="121"/>
    </row>
    <row r="41" spans="1:31" ht="14">
      <c r="A41" s="51"/>
      <c r="B41" s="65" t="s">
        <v>44</v>
      </c>
      <c r="C41" s="92">
        <v>0.48541666666666666</v>
      </c>
      <c r="D41" s="53">
        <v>37.799999999999997</v>
      </c>
      <c r="E41" s="53">
        <v>61.8</v>
      </c>
      <c r="F41" s="53">
        <v>2340</v>
      </c>
      <c r="G41" s="134" t="s">
        <v>187</v>
      </c>
      <c r="H41" s="121"/>
      <c r="I41" s="121"/>
      <c r="J41" s="121"/>
      <c r="K41" s="53">
        <v>49.8</v>
      </c>
      <c r="L41" s="53">
        <v>4.8499999999999996</v>
      </c>
      <c r="M41" s="53">
        <v>16.899999999999999</v>
      </c>
      <c r="N41" s="53">
        <v>14.15</v>
      </c>
      <c r="O41" s="53">
        <v>4.8899999999999997</v>
      </c>
      <c r="P41" s="53">
        <v>69.23</v>
      </c>
      <c r="Q41" s="134"/>
      <c r="R41" s="121"/>
      <c r="S41" s="121"/>
      <c r="T41" s="118"/>
      <c r="U41" s="79"/>
      <c r="V41" s="148"/>
      <c r="W41" s="121"/>
      <c r="X41" s="148"/>
      <c r="Y41" s="121"/>
      <c r="Z41" s="148"/>
      <c r="AA41" s="121"/>
      <c r="AB41" s="149"/>
      <c r="AC41" s="121"/>
      <c r="AD41" s="121"/>
      <c r="AE41" s="121"/>
    </row>
    <row r="42" spans="1:31" ht="14">
      <c r="A42" s="51" t="s">
        <v>165</v>
      </c>
      <c r="B42" s="65" t="s">
        <v>33</v>
      </c>
      <c r="C42" s="66">
        <v>0.49166666666666664</v>
      </c>
      <c r="D42" s="53">
        <v>36.799999999999997</v>
      </c>
      <c r="E42" s="53">
        <v>58.7</v>
      </c>
      <c r="F42" s="53">
        <v>7880</v>
      </c>
      <c r="G42" s="134" t="s">
        <v>183</v>
      </c>
      <c r="H42" s="121"/>
      <c r="I42" s="121"/>
      <c r="J42" s="121"/>
      <c r="K42" s="53">
        <v>32.200000000000003</v>
      </c>
      <c r="L42" s="53">
        <v>17.13</v>
      </c>
      <c r="M42" s="53">
        <v>29.32</v>
      </c>
      <c r="N42" s="53">
        <v>81.81</v>
      </c>
      <c r="O42" s="53">
        <v>22.97</v>
      </c>
      <c r="P42" s="53">
        <v>18.170000000000002</v>
      </c>
      <c r="Q42" s="134"/>
      <c r="R42" s="121"/>
      <c r="S42" s="121"/>
      <c r="T42" s="118"/>
      <c r="U42" s="79"/>
      <c r="V42" s="148"/>
      <c r="W42" s="121"/>
      <c r="X42" s="148"/>
      <c r="Y42" s="121"/>
      <c r="Z42" s="148"/>
      <c r="AA42" s="121"/>
      <c r="AB42" s="149"/>
      <c r="AC42" s="121"/>
      <c r="AD42" s="121"/>
      <c r="AE42" s="121"/>
    </row>
    <row r="43" spans="1:31" ht="14">
      <c r="A43" s="65" t="s">
        <v>188</v>
      </c>
      <c r="B43" s="65" t="s">
        <v>42</v>
      </c>
      <c r="C43" s="91">
        <v>0.1736111111111111</v>
      </c>
      <c r="D43" s="53">
        <v>25.3</v>
      </c>
      <c r="E43" s="53">
        <v>79.8</v>
      </c>
      <c r="F43" s="53">
        <v>0</v>
      </c>
      <c r="G43" s="134" t="s">
        <v>149</v>
      </c>
      <c r="H43" s="121"/>
      <c r="I43" s="121"/>
      <c r="J43" s="121"/>
      <c r="K43" s="53">
        <v>60.6</v>
      </c>
      <c r="L43" s="53">
        <v>20.28</v>
      </c>
      <c r="M43" s="53">
        <v>78.319999999999993</v>
      </c>
      <c r="N43" s="53">
        <v>48.65</v>
      </c>
      <c r="O43" s="53">
        <v>177.35</v>
      </c>
      <c r="P43" s="53">
        <v>118.68</v>
      </c>
      <c r="Q43" s="134" t="s">
        <v>189</v>
      </c>
      <c r="R43" s="121"/>
      <c r="S43" s="121"/>
      <c r="T43" s="118"/>
      <c r="U43" s="79"/>
      <c r="V43" s="148"/>
      <c r="W43" s="121"/>
      <c r="X43" s="148"/>
      <c r="Y43" s="121"/>
      <c r="Z43" s="148"/>
      <c r="AA43" s="121"/>
      <c r="AB43" s="150"/>
      <c r="AC43" s="121"/>
      <c r="AD43" s="121"/>
      <c r="AE43" s="121"/>
    </row>
    <row r="44" spans="1:31" ht="14">
      <c r="A44" s="51"/>
      <c r="B44" s="65" t="s">
        <v>33</v>
      </c>
      <c r="C44" s="91">
        <v>0.18194444444444444</v>
      </c>
      <c r="D44" s="53">
        <v>25.3</v>
      </c>
      <c r="E44" s="53">
        <v>80.400000000000006</v>
      </c>
      <c r="F44" s="53">
        <v>0</v>
      </c>
      <c r="G44" s="134" t="s">
        <v>149</v>
      </c>
      <c r="H44" s="121"/>
      <c r="I44" s="121"/>
      <c r="J44" s="121"/>
      <c r="K44" s="53">
        <v>78.900000000000006</v>
      </c>
      <c r="L44" s="53">
        <v>23.7</v>
      </c>
      <c r="M44" s="53">
        <v>91.69</v>
      </c>
      <c r="N44" s="53">
        <v>564</v>
      </c>
      <c r="O44" s="53" t="s">
        <v>155</v>
      </c>
      <c r="P44" s="53" t="s">
        <v>155</v>
      </c>
      <c r="Q44" s="134" t="s">
        <v>190</v>
      </c>
      <c r="R44" s="121"/>
      <c r="S44" s="121"/>
      <c r="T44" s="118"/>
      <c r="U44" s="11"/>
      <c r="V44" s="146"/>
      <c r="W44" s="121"/>
      <c r="X44" s="146"/>
      <c r="Y44" s="121"/>
      <c r="Z44" s="146"/>
      <c r="AA44" s="121"/>
      <c r="AB44" s="147"/>
      <c r="AC44" s="121"/>
      <c r="AD44" s="121"/>
      <c r="AE44" s="121"/>
    </row>
    <row r="45" spans="1:31" ht="14">
      <c r="A45" s="51" t="s">
        <v>165</v>
      </c>
      <c r="B45" s="65" t="s">
        <v>44</v>
      </c>
      <c r="C45" s="91">
        <v>0.18680555555555556</v>
      </c>
      <c r="D45" s="53">
        <v>25.5</v>
      </c>
      <c r="E45" s="53">
        <v>79.3</v>
      </c>
      <c r="F45" s="53">
        <v>0</v>
      </c>
      <c r="G45" s="134" t="s">
        <v>149</v>
      </c>
      <c r="H45" s="121"/>
      <c r="I45" s="121"/>
      <c r="J45" s="121"/>
      <c r="K45" s="53">
        <v>91.4</v>
      </c>
      <c r="L45" s="53">
        <v>14.27</v>
      </c>
      <c r="M45" s="53">
        <v>825</v>
      </c>
      <c r="N45" s="53">
        <v>147.85</v>
      </c>
      <c r="O45" s="53">
        <v>66.3</v>
      </c>
      <c r="P45" s="53">
        <v>145.76</v>
      </c>
      <c r="Q45" s="134"/>
      <c r="R45" s="121"/>
      <c r="S45" s="121"/>
      <c r="T45" s="118"/>
      <c r="U45" s="11"/>
      <c r="V45" s="146"/>
      <c r="W45" s="121"/>
      <c r="X45" s="146"/>
      <c r="Y45" s="121"/>
      <c r="Z45" s="146"/>
      <c r="AA45" s="121"/>
      <c r="AB45" s="147"/>
      <c r="AC45" s="121"/>
      <c r="AD45" s="121"/>
      <c r="AE45" s="121"/>
    </row>
    <row r="46" spans="1:31" ht="14">
      <c r="A46" s="51"/>
      <c r="B46" s="65" t="s">
        <v>39</v>
      </c>
      <c r="C46" s="91">
        <v>0.19375000000000001</v>
      </c>
      <c r="D46" s="53">
        <v>25.5</v>
      </c>
      <c r="E46" s="53">
        <v>79.3</v>
      </c>
      <c r="F46" s="53">
        <v>0</v>
      </c>
      <c r="G46" s="134" t="s">
        <v>149</v>
      </c>
      <c r="H46" s="121"/>
      <c r="I46" s="121"/>
      <c r="J46" s="121"/>
      <c r="K46" s="53">
        <v>91</v>
      </c>
      <c r="L46" s="53">
        <v>13.5</v>
      </c>
      <c r="M46" s="53">
        <v>98.23</v>
      </c>
      <c r="N46" s="53">
        <v>61.62</v>
      </c>
      <c r="O46" s="53">
        <v>5.74</v>
      </c>
      <c r="P46" s="53">
        <v>222</v>
      </c>
      <c r="Q46" s="136" t="s">
        <v>191</v>
      </c>
      <c r="R46" s="121"/>
      <c r="S46" s="121"/>
      <c r="T46" s="118"/>
      <c r="U46" s="79"/>
      <c r="V46" s="148"/>
      <c r="W46" s="121"/>
      <c r="X46" s="148"/>
      <c r="Y46" s="121"/>
      <c r="Z46" s="148"/>
      <c r="AA46" s="121"/>
      <c r="AB46" s="149"/>
      <c r="AC46" s="121"/>
      <c r="AD46" s="121"/>
      <c r="AE46" s="121"/>
    </row>
    <row r="47" spans="1:31" ht="14">
      <c r="A47" s="51"/>
      <c r="B47" s="65" t="s">
        <v>46</v>
      </c>
      <c r="C47" s="91">
        <v>0.1986111111111111</v>
      </c>
      <c r="D47" s="53">
        <v>25.6</v>
      </c>
      <c r="E47" s="53">
        <v>78.7</v>
      </c>
      <c r="F47" s="53">
        <v>0</v>
      </c>
      <c r="G47" s="134" t="s">
        <v>149</v>
      </c>
      <c r="H47" s="121"/>
      <c r="I47" s="121"/>
      <c r="J47" s="121"/>
      <c r="K47" s="53">
        <v>107.9</v>
      </c>
      <c r="L47" s="53">
        <v>23.48</v>
      </c>
      <c r="M47" s="53">
        <v>156.08000000000001</v>
      </c>
      <c r="N47" s="53">
        <v>7.1</v>
      </c>
      <c r="O47" s="53">
        <v>0</v>
      </c>
      <c r="P47" s="53">
        <v>459</v>
      </c>
      <c r="Q47" s="134" t="s">
        <v>192</v>
      </c>
      <c r="R47" s="121"/>
      <c r="S47" s="121"/>
      <c r="T47" s="118"/>
      <c r="U47" s="79"/>
      <c r="V47" s="148"/>
      <c r="W47" s="121"/>
      <c r="X47" s="148"/>
      <c r="Y47" s="121"/>
      <c r="Z47" s="148"/>
      <c r="AA47" s="121"/>
      <c r="AB47" s="149"/>
      <c r="AC47" s="121"/>
      <c r="AD47" s="121"/>
      <c r="AE47" s="121"/>
    </row>
    <row r="48" spans="1:31" ht="14">
      <c r="A48" s="65" t="s">
        <v>193</v>
      </c>
      <c r="B48" s="65" t="s">
        <v>46</v>
      </c>
      <c r="C48" s="52">
        <v>0.25208333333333333</v>
      </c>
      <c r="D48" s="53">
        <v>27</v>
      </c>
      <c r="E48" s="53">
        <v>76.7</v>
      </c>
      <c r="F48" s="53">
        <v>503</v>
      </c>
      <c r="G48" s="134" t="s">
        <v>152</v>
      </c>
      <c r="H48" s="121"/>
      <c r="I48" s="121"/>
      <c r="J48" s="121"/>
      <c r="K48" s="53">
        <v>107.9</v>
      </c>
      <c r="L48" s="53">
        <v>23.48</v>
      </c>
      <c r="M48" s="53">
        <v>156.08000000000001</v>
      </c>
      <c r="N48" s="53">
        <v>7.1</v>
      </c>
      <c r="O48" s="53">
        <v>0</v>
      </c>
      <c r="P48" s="53">
        <v>459</v>
      </c>
      <c r="Q48" s="134" t="s">
        <v>195</v>
      </c>
      <c r="R48" s="121"/>
      <c r="S48" s="121"/>
      <c r="T48" s="118"/>
      <c r="U48" s="79"/>
      <c r="V48" s="148"/>
      <c r="W48" s="121"/>
      <c r="X48" s="148"/>
      <c r="Y48" s="121"/>
      <c r="Z48" s="148"/>
      <c r="AA48" s="121"/>
      <c r="AB48" s="150"/>
      <c r="AC48" s="121"/>
      <c r="AD48" s="121"/>
      <c r="AE48" s="121"/>
    </row>
    <row r="49" spans="1:31" ht="14">
      <c r="A49" s="51"/>
      <c r="B49" s="65" t="s">
        <v>39</v>
      </c>
      <c r="C49" s="52">
        <v>0.25694444444444442</v>
      </c>
      <c r="D49" s="53">
        <v>27.2</v>
      </c>
      <c r="E49" s="53">
        <v>78</v>
      </c>
      <c r="F49" s="53">
        <v>1124</v>
      </c>
      <c r="G49" s="134" t="s">
        <v>196</v>
      </c>
      <c r="H49" s="121"/>
      <c r="I49" s="121"/>
      <c r="J49" s="121"/>
      <c r="K49" s="53">
        <v>9.08</v>
      </c>
      <c r="L49" s="53">
        <v>13.5</v>
      </c>
      <c r="M49" s="53">
        <v>98.23</v>
      </c>
      <c r="N49" s="53">
        <v>61.62</v>
      </c>
      <c r="O49" s="53">
        <v>5.74</v>
      </c>
      <c r="P49" s="53">
        <v>222</v>
      </c>
      <c r="Q49" s="125" t="s">
        <v>198</v>
      </c>
      <c r="R49" s="121"/>
      <c r="S49" s="121"/>
      <c r="T49" s="118"/>
      <c r="U49" s="79"/>
      <c r="V49" s="148"/>
      <c r="W49" s="121"/>
      <c r="X49" s="148"/>
      <c r="Y49" s="121"/>
      <c r="Z49" s="148"/>
      <c r="AA49" s="121"/>
      <c r="AB49" s="149"/>
      <c r="AC49" s="121"/>
      <c r="AD49" s="121"/>
      <c r="AE49" s="121"/>
    </row>
    <row r="50" spans="1:31" ht="14">
      <c r="A50" s="51"/>
      <c r="B50" s="65" t="s">
        <v>44</v>
      </c>
      <c r="C50" s="52">
        <v>0.25972222222222224</v>
      </c>
      <c r="D50" s="53">
        <v>26.8</v>
      </c>
      <c r="E50" s="53">
        <v>79.2</v>
      </c>
      <c r="F50" s="53">
        <v>3500</v>
      </c>
      <c r="G50" s="134" t="s">
        <v>187</v>
      </c>
      <c r="H50" s="121"/>
      <c r="I50" s="121"/>
      <c r="J50" s="121"/>
      <c r="K50" s="53">
        <v>91.4</v>
      </c>
      <c r="L50" s="53">
        <v>14.27</v>
      </c>
      <c r="M50" s="53">
        <v>825</v>
      </c>
      <c r="N50" s="53">
        <v>147.85</v>
      </c>
      <c r="O50" s="53">
        <v>66.3</v>
      </c>
      <c r="P50" s="53">
        <v>145.76</v>
      </c>
      <c r="Q50" s="125" t="s">
        <v>195</v>
      </c>
      <c r="R50" s="121"/>
      <c r="S50" s="121"/>
      <c r="T50" s="118"/>
      <c r="U50" s="79"/>
      <c r="V50" s="148"/>
      <c r="W50" s="121"/>
      <c r="X50" s="148"/>
      <c r="Y50" s="121"/>
      <c r="Z50" s="148"/>
      <c r="AA50" s="121"/>
      <c r="AB50" s="149"/>
      <c r="AC50" s="121"/>
      <c r="AD50" s="121"/>
      <c r="AE50" s="121"/>
    </row>
    <row r="51" spans="1:31" ht="14">
      <c r="A51" s="51"/>
      <c r="B51" s="65" t="s">
        <v>33</v>
      </c>
      <c r="C51" s="35" t="s">
        <v>199</v>
      </c>
      <c r="D51" s="53">
        <v>27.2</v>
      </c>
      <c r="E51" s="53">
        <v>74.599999999999994</v>
      </c>
      <c r="F51" s="53">
        <v>1037</v>
      </c>
      <c r="G51" s="134" t="s">
        <v>152</v>
      </c>
      <c r="H51" s="121"/>
      <c r="I51" s="121"/>
      <c r="J51" s="121"/>
      <c r="K51" s="53">
        <v>62.7</v>
      </c>
      <c r="L51" s="53">
        <v>36.78</v>
      </c>
      <c r="M51" s="53">
        <v>8.34</v>
      </c>
      <c r="N51" s="53">
        <v>13.84</v>
      </c>
      <c r="O51" s="53">
        <v>51.78</v>
      </c>
      <c r="P51" s="53">
        <v>41.88</v>
      </c>
      <c r="Q51" s="125" t="s">
        <v>200</v>
      </c>
      <c r="R51" s="121"/>
      <c r="S51" s="121"/>
      <c r="T51" s="118"/>
      <c r="U51" s="79"/>
      <c r="V51" s="148"/>
      <c r="W51" s="121"/>
      <c r="X51" s="148"/>
      <c r="Y51" s="121"/>
      <c r="Z51" s="148"/>
      <c r="AA51" s="121"/>
      <c r="AB51" s="149"/>
      <c r="AC51" s="121"/>
      <c r="AD51" s="121"/>
      <c r="AE51" s="121"/>
    </row>
    <row r="52" spans="1:31" ht="14">
      <c r="A52" s="51"/>
      <c r="B52" s="65" t="s">
        <v>42</v>
      </c>
      <c r="C52" s="52">
        <v>0.26874999999999999</v>
      </c>
      <c r="D52" s="53">
        <v>26.2</v>
      </c>
      <c r="E52" s="53">
        <v>79.7</v>
      </c>
      <c r="F52" s="53">
        <v>4800</v>
      </c>
      <c r="G52" s="134" t="s">
        <v>187</v>
      </c>
      <c r="H52" s="121"/>
      <c r="I52" s="121"/>
      <c r="J52" s="121"/>
      <c r="K52" s="53">
        <v>50.3</v>
      </c>
      <c r="L52" s="53">
        <v>15.23</v>
      </c>
      <c r="M52" s="53">
        <v>43.67</v>
      </c>
      <c r="N52" s="53">
        <v>0</v>
      </c>
      <c r="O52" s="53">
        <v>35.69</v>
      </c>
      <c r="P52" s="53">
        <v>120.29</v>
      </c>
      <c r="Q52" s="125" t="s">
        <v>201</v>
      </c>
      <c r="R52" s="121"/>
      <c r="S52" s="121"/>
      <c r="T52" s="118"/>
      <c r="U52" s="79"/>
      <c r="V52" s="148"/>
      <c r="W52" s="121"/>
      <c r="X52" s="148"/>
      <c r="Y52" s="121"/>
      <c r="Z52" s="148"/>
      <c r="AA52" s="121"/>
      <c r="AB52" s="150"/>
      <c r="AC52" s="121"/>
      <c r="AD52" s="121"/>
      <c r="AE52" s="121"/>
    </row>
    <row r="53" spans="1:31" ht="14">
      <c r="A53" s="65" t="s">
        <v>202</v>
      </c>
      <c r="B53" s="65" t="s">
        <v>39</v>
      </c>
      <c r="C53" s="52">
        <v>0.41736111111111113</v>
      </c>
      <c r="D53" s="53">
        <v>32.9</v>
      </c>
      <c r="E53" s="53">
        <v>71.099999999999994</v>
      </c>
      <c r="F53" s="53">
        <v>1764</v>
      </c>
      <c r="G53" s="134" t="s">
        <v>203</v>
      </c>
      <c r="H53" s="121"/>
      <c r="I53" s="121"/>
      <c r="J53" s="121"/>
      <c r="K53" s="53">
        <v>93.4</v>
      </c>
      <c r="L53" s="53">
        <v>18</v>
      </c>
      <c r="M53" s="53">
        <v>111.58</v>
      </c>
      <c r="N53" s="53">
        <v>5.07</v>
      </c>
      <c r="O53" s="53">
        <v>25.05</v>
      </c>
      <c r="P53" s="53">
        <v>153.07</v>
      </c>
      <c r="Q53" s="134" t="s">
        <v>204</v>
      </c>
      <c r="R53" s="121"/>
      <c r="S53" s="121"/>
      <c r="T53" s="118"/>
      <c r="U53" s="79"/>
      <c r="V53" s="148"/>
      <c r="W53" s="121"/>
      <c r="X53" s="148"/>
      <c r="Y53" s="121"/>
      <c r="Z53" s="148"/>
      <c r="AA53" s="121"/>
      <c r="AB53" s="150"/>
      <c r="AC53" s="121"/>
      <c r="AD53" s="121"/>
      <c r="AE53" s="121"/>
    </row>
    <row r="54" spans="1:31" ht="14">
      <c r="A54" s="51"/>
      <c r="B54" s="65" t="s">
        <v>46</v>
      </c>
      <c r="C54" s="52">
        <v>0.44097222222222221</v>
      </c>
      <c r="D54" s="53">
        <v>36.1</v>
      </c>
      <c r="E54" s="53">
        <v>63.7</v>
      </c>
      <c r="F54" s="53">
        <v>4090</v>
      </c>
      <c r="G54" s="134" t="s">
        <v>205</v>
      </c>
      <c r="H54" s="121"/>
      <c r="I54" s="121"/>
      <c r="J54" s="121"/>
      <c r="K54" s="53">
        <v>10.7</v>
      </c>
      <c r="L54" s="53">
        <v>20.170000000000002</v>
      </c>
      <c r="M54" s="53">
        <v>25.27</v>
      </c>
      <c r="N54" s="53">
        <v>5.93</v>
      </c>
      <c r="O54" s="53">
        <v>9.64</v>
      </c>
      <c r="P54" s="53">
        <v>54.93</v>
      </c>
      <c r="Q54" s="134" t="s">
        <v>206</v>
      </c>
      <c r="R54" s="121"/>
      <c r="S54" s="121"/>
      <c r="T54" s="118"/>
      <c r="U54" s="11"/>
      <c r="V54" s="146"/>
      <c r="W54" s="121"/>
      <c r="X54" s="148"/>
      <c r="Y54" s="121"/>
      <c r="Z54" s="148"/>
      <c r="AA54" s="121"/>
      <c r="AB54" s="149"/>
      <c r="AC54" s="121"/>
      <c r="AD54" s="121"/>
      <c r="AE54" s="121"/>
    </row>
    <row r="55" spans="1:31" ht="14">
      <c r="A55" s="51"/>
      <c r="B55" s="65" t="s">
        <v>44</v>
      </c>
      <c r="C55" s="52">
        <v>0.44722222222222224</v>
      </c>
      <c r="D55" s="53">
        <v>36.799999999999997</v>
      </c>
      <c r="E55" s="53">
        <v>62</v>
      </c>
      <c r="F55" s="53">
        <v>4550</v>
      </c>
      <c r="G55" s="134"/>
      <c r="H55" s="121"/>
      <c r="I55" s="121"/>
      <c r="J55" s="121"/>
      <c r="K55" s="53">
        <v>49.2</v>
      </c>
      <c r="L55" s="53">
        <v>15.81</v>
      </c>
      <c r="M55" s="53">
        <v>37.869999999999997</v>
      </c>
      <c r="N55" s="53">
        <v>22.17</v>
      </c>
      <c r="O55" s="53">
        <v>118.17</v>
      </c>
      <c r="P55" s="53">
        <v>58.1</v>
      </c>
      <c r="Q55" s="134"/>
      <c r="R55" s="121"/>
      <c r="S55" s="121"/>
      <c r="T55" s="118"/>
      <c r="U55" s="11"/>
      <c r="V55" s="146"/>
      <c r="W55" s="121"/>
      <c r="X55" s="148"/>
      <c r="Y55" s="121"/>
      <c r="Z55" s="148"/>
      <c r="AA55" s="121"/>
      <c r="AB55" s="149"/>
      <c r="AC55" s="121"/>
      <c r="AD55" s="121"/>
      <c r="AE55" s="121"/>
    </row>
    <row r="56" spans="1:31" ht="14">
      <c r="A56" s="51"/>
      <c r="B56" s="65" t="s">
        <v>33</v>
      </c>
      <c r="C56" s="52">
        <v>0.45347222222222222</v>
      </c>
      <c r="D56" s="53">
        <v>35.9</v>
      </c>
      <c r="E56" s="53">
        <v>59.2</v>
      </c>
      <c r="F56" s="53" t="s">
        <v>132</v>
      </c>
      <c r="G56" s="134" t="s">
        <v>207</v>
      </c>
      <c r="H56" s="121"/>
      <c r="I56" s="121"/>
      <c r="J56" s="121"/>
      <c r="K56" s="53">
        <v>34</v>
      </c>
      <c r="L56" s="53">
        <v>30.35</v>
      </c>
      <c r="M56" s="53">
        <v>25.31</v>
      </c>
      <c r="N56" s="53">
        <v>46.84</v>
      </c>
      <c r="O56" s="53">
        <v>19.89</v>
      </c>
      <c r="P56" s="28">
        <v>88.68</v>
      </c>
      <c r="Q56" s="134"/>
      <c r="R56" s="121"/>
      <c r="S56" s="121"/>
      <c r="T56" s="118"/>
      <c r="U56" s="79"/>
      <c r="V56" s="148"/>
      <c r="W56" s="121"/>
      <c r="X56" s="148"/>
      <c r="Y56" s="121"/>
      <c r="Z56" s="148"/>
      <c r="AA56" s="121"/>
      <c r="AB56" s="149"/>
      <c r="AC56" s="121"/>
      <c r="AD56" s="121"/>
      <c r="AE56" s="121"/>
    </row>
    <row r="57" spans="1:31" ht="14">
      <c r="A57" s="51"/>
      <c r="B57" s="65" t="s">
        <v>42</v>
      </c>
      <c r="C57" s="52">
        <v>0.4597222222222222</v>
      </c>
      <c r="D57" s="53">
        <v>34.799999999999997</v>
      </c>
      <c r="E57" s="53">
        <v>59.3</v>
      </c>
      <c r="F57" s="53">
        <v>6060</v>
      </c>
      <c r="G57" s="134" t="s">
        <v>207</v>
      </c>
      <c r="H57" s="121"/>
      <c r="I57" s="121"/>
      <c r="J57" s="121"/>
      <c r="K57" s="53">
        <v>21.7</v>
      </c>
      <c r="L57" s="53">
        <v>34.340000000000003</v>
      </c>
      <c r="M57" s="53">
        <v>38.29</v>
      </c>
      <c r="N57" s="53">
        <v>22.92</v>
      </c>
      <c r="O57" s="53">
        <v>263</v>
      </c>
      <c r="P57" s="28">
        <v>67.02</v>
      </c>
      <c r="Q57" s="134" t="s">
        <v>208</v>
      </c>
      <c r="R57" s="121"/>
      <c r="S57" s="121"/>
      <c r="T57" s="118"/>
      <c r="U57" s="79"/>
      <c r="V57" s="148"/>
      <c r="W57" s="121"/>
      <c r="X57" s="148"/>
      <c r="Y57" s="121"/>
      <c r="Z57" s="148"/>
      <c r="AA57" s="121"/>
      <c r="AB57" s="150"/>
      <c r="AC57" s="121"/>
      <c r="AD57" s="121"/>
      <c r="AE57" s="121"/>
    </row>
    <row r="58" spans="1:31" ht="14">
      <c r="A58" s="65" t="s">
        <v>209</v>
      </c>
      <c r="B58" s="65" t="s">
        <v>33</v>
      </c>
      <c r="C58" s="52">
        <v>0.69861111111111107</v>
      </c>
      <c r="D58" s="53">
        <v>31.8</v>
      </c>
      <c r="E58" s="53">
        <v>69.5</v>
      </c>
      <c r="F58" s="53">
        <v>2940</v>
      </c>
      <c r="G58" s="134" t="s">
        <v>207</v>
      </c>
      <c r="H58" s="121"/>
      <c r="I58" s="121"/>
      <c r="J58" s="121"/>
      <c r="K58" s="53">
        <v>78.900000000000006</v>
      </c>
      <c r="L58" s="53">
        <v>23.7</v>
      </c>
      <c r="M58" s="53">
        <v>91.69</v>
      </c>
      <c r="N58" s="53">
        <v>564</v>
      </c>
      <c r="O58" s="53" t="s">
        <v>155</v>
      </c>
      <c r="P58" s="53" t="s">
        <v>155</v>
      </c>
      <c r="Q58" s="125" t="s">
        <v>210</v>
      </c>
      <c r="R58" s="121"/>
      <c r="S58" s="121"/>
      <c r="T58" s="118"/>
      <c r="U58" s="11"/>
      <c r="V58" s="146"/>
      <c r="W58" s="121"/>
      <c r="X58" s="148"/>
      <c r="Y58" s="121"/>
      <c r="Z58" s="148"/>
      <c r="AA58" s="121"/>
      <c r="AB58" s="149"/>
      <c r="AC58" s="121"/>
      <c r="AD58" s="121"/>
      <c r="AE58" s="121"/>
    </row>
    <row r="59" spans="1:31" ht="14">
      <c r="A59" s="51"/>
      <c r="B59" s="65" t="s">
        <v>42</v>
      </c>
      <c r="C59" s="88">
        <v>0.70486111111111116</v>
      </c>
      <c r="D59" s="53">
        <v>31.5</v>
      </c>
      <c r="E59" s="53">
        <v>73.599999999999994</v>
      </c>
      <c r="F59" s="53">
        <v>3800</v>
      </c>
      <c r="G59" s="134" t="s">
        <v>207</v>
      </c>
      <c r="H59" s="121"/>
      <c r="I59" s="121"/>
      <c r="J59" s="121"/>
      <c r="K59" s="53">
        <v>89.4</v>
      </c>
      <c r="L59" s="53">
        <v>18.420000000000002</v>
      </c>
      <c r="M59" s="53">
        <v>88.25</v>
      </c>
      <c r="N59" s="53">
        <v>138.21</v>
      </c>
      <c r="O59" s="53">
        <v>34.29</v>
      </c>
      <c r="P59" s="53">
        <v>107.31</v>
      </c>
      <c r="Q59" s="134"/>
      <c r="R59" s="121"/>
      <c r="S59" s="121"/>
      <c r="T59" s="118"/>
      <c r="U59" s="79"/>
      <c r="V59" s="148"/>
      <c r="W59" s="121"/>
      <c r="X59" s="148"/>
      <c r="Y59" s="121"/>
      <c r="Z59" s="148"/>
      <c r="AA59" s="121"/>
      <c r="AB59" s="149"/>
      <c r="AC59" s="121"/>
      <c r="AD59" s="121"/>
      <c r="AE59" s="121"/>
    </row>
    <row r="60" spans="1:31" ht="14">
      <c r="A60" s="51"/>
      <c r="B60" s="65" t="s">
        <v>44</v>
      </c>
      <c r="C60" s="88">
        <v>0.70972222222222225</v>
      </c>
      <c r="D60" s="53">
        <v>31.6</v>
      </c>
      <c r="E60" s="53">
        <v>75</v>
      </c>
      <c r="F60" s="53">
        <v>405</v>
      </c>
      <c r="G60" s="134" t="s">
        <v>207</v>
      </c>
      <c r="H60" s="121"/>
      <c r="I60" s="121"/>
      <c r="J60" s="121"/>
      <c r="K60" s="53">
        <v>33.799999999999997</v>
      </c>
      <c r="L60" s="53">
        <v>27.66</v>
      </c>
      <c r="M60" s="53">
        <v>29.1</v>
      </c>
      <c r="N60" s="53">
        <v>64.86</v>
      </c>
      <c r="O60" s="53">
        <v>35.69</v>
      </c>
      <c r="P60" s="53">
        <v>47.57</v>
      </c>
      <c r="Q60" s="134"/>
      <c r="R60" s="121"/>
      <c r="S60" s="121"/>
      <c r="T60" s="118"/>
    </row>
    <row r="61" spans="1:31" ht="14">
      <c r="A61" s="51"/>
      <c r="B61" s="65" t="s">
        <v>39</v>
      </c>
      <c r="C61" s="88">
        <v>0.71458333333333335</v>
      </c>
      <c r="D61" s="53">
        <v>31.6</v>
      </c>
      <c r="E61" s="53">
        <v>75</v>
      </c>
      <c r="F61" s="53">
        <v>395</v>
      </c>
      <c r="G61" s="134" t="s">
        <v>207</v>
      </c>
      <c r="H61" s="121"/>
      <c r="I61" s="121"/>
      <c r="J61" s="121"/>
      <c r="K61" s="53">
        <v>17.350000000000001</v>
      </c>
      <c r="L61" s="53">
        <v>31.86</v>
      </c>
      <c r="M61" s="53">
        <v>36.6</v>
      </c>
      <c r="N61" s="53">
        <v>37.03</v>
      </c>
      <c r="O61" s="53">
        <v>52.03</v>
      </c>
      <c r="P61" s="53">
        <v>147.85</v>
      </c>
      <c r="Q61" s="136" t="s">
        <v>211</v>
      </c>
      <c r="R61" s="121"/>
      <c r="S61" s="121"/>
      <c r="T61" s="118"/>
    </row>
    <row r="62" spans="1:31" ht="14">
      <c r="A62" s="51"/>
      <c r="B62" s="65" t="s">
        <v>46</v>
      </c>
      <c r="C62" s="88">
        <v>0.72083333333333333</v>
      </c>
      <c r="D62" s="53">
        <v>31.8</v>
      </c>
      <c r="E62" s="53">
        <v>76.8</v>
      </c>
      <c r="F62" s="53">
        <v>1056</v>
      </c>
      <c r="G62" s="134" t="s">
        <v>187</v>
      </c>
      <c r="H62" s="121"/>
      <c r="I62" s="121"/>
      <c r="J62" s="121"/>
      <c r="K62" s="53">
        <v>96.5</v>
      </c>
      <c r="L62" s="53">
        <v>33.47</v>
      </c>
      <c r="M62" s="53">
        <v>151.58000000000001</v>
      </c>
      <c r="N62" s="53">
        <v>46</v>
      </c>
      <c r="O62" s="53" t="s">
        <v>155</v>
      </c>
      <c r="P62" s="53">
        <v>370</v>
      </c>
      <c r="Q62" s="134"/>
      <c r="R62" s="121"/>
      <c r="S62" s="121"/>
      <c r="T62" s="118"/>
    </row>
    <row r="63" spans="1:31" ht="14">
      <c r="A63" s="65" t="s">
        <v>212</v>
      </c>
      <c r="B63" s="65" t="s">
        <v>42</v>
      </c>
      <c r="C63" s="87">
        <v>0.5180555555555556</v>
      </c>
      <c r="D63" s="53">
        <v>28</v>
      </c>
      <c r="E63" s="28">
        <v>75.3</v>
      </c>
      <c r="F63" s="53">
        <v>0</v>
      </c>
      <c r="G63" s="134" t="s">
        <v>149</v>
      </c>
      <c r="H63" s="121"/>
      <c r="I63" s="121"/>
      <c r="J63" s="121"/>
      <c r="K63" s="53">
        <v>95</v>
      </c>
      <c r="L63" s="53">
        <v>19.71</v>
      </c>
      <c r="M63" s="53">
        <v>358</v>
      </c>
      <c r="N63" s="53">
        <v>0</v>
      </c>
      <c r="O63" s="53">
        <v>0</v>
      </c>
      <c r="P63" s="53">
        <v>134.85</v>
      </c>
      <c r="Q63" s="134"/>
      <c r="R63" s="121"/>
      <c r="S63" s="121"/>
      <c r="T63" s="118"/>
    </row>
    <row r="64" spans="1:31" ht="14">
      <c r="A64" s="51"/>
      <c r="B64" s="65" t="s">
        <v>33</v>
      </c>
      <c r="C64" s="87">
        <v>0.52638888888888891</v>
      </c>
      <c r="D64" s="53">
        <v>27.5</v>
      </c>
      <c r="E64" s="28">
        <v>76.7</v>
      </c>
      <c r="F64" s="53">
        <v>0</v>
      </c>
      <c r="G64" s="134" t="s">
        <v>149</v>
      </c>
      <c r="H64" s="121"/>
      <c r="I64" s="121"/>
      <c r="J64" s="121"/>
      <c r="K64" s="53">
        <v>67.5</v>
      </c>
      <c r="L64" s="53">
        <v>23.6</v>
      </c>
      <c r="M64" s="53">
        <v>90.52</v>
      </c>
      <c r="N64" s="53">
        <v>564</v>
      </c>
      <c r="O64" s="53" t="s">
        <v>155</v>
      </c>
      <c r="P64" s="53" t="s">
        <v>155</v>
      </c>
      <c r="Q64" s="125" t="s">
        <v>213</v>
      </c>
      <c r="R64" s="121"/>
      <c r="S64" s="121"/>
      <c r="T64" s="118"/>
    </row>
    <row r="65" spans="1:26" ht="14">
      <c r="A65" s="51" t="s">
        <v>165</v>
      </c>
      <c r="B65" s="65" t="s">
        <v>39</v>
      </c>
      <c r="C65" s="90">
        <v>0.53333333333333333</v>
      </c>
      <c r="D65" s="53">
        <v>27</v>
      </c>
      <c r="E65" s="28">
        <v>79.099999999999994</v>
      </c>
      <c r="F65" s="53">
        <v>0</v>
      </c>
      <c r="G65" s="134" t="s">
        <v>149</v>
      </c>
      <c r="H65" s="121"/>
      <c r="I65" s="121"/>
      <c r="J65" s="121"/>
      <c r="K65" s="53">
        <v>173.5</v>
      </c>
      <c r="L65" s="53">
        <v>31.86</v>
      </c>
      <c r="M65" s="53">
        <v>366</v>
      </c>
      <c r="N65" s="53">
        <v>37.03</v>
      </c>
      <c r="O65" s="53">
        <v>52.03</v>
      </c>
      <c r="P65" s="53">
        <v>147.85</v>
      </c>
      <c r="Q65" s="125" t="s">
        <v>195</v>
      </c>
      <c r="R65" s="121"/>
      <c r="S65" s="121"/>
      <c r="T65" s="118"/>
      <c r="U65" s="148"/>
      <c r="V65" s="121"/>
      <c r="W65" s="150"/>
      <c r="X65" s="121"/>
      <c r="Y65" s="121"/>
      <c r="Z65" s="121"/>
    </row>
    <row r="66" spans="1:26" ht="14">
      <c r="A66" s="51"/>
      <c r="B66" s="65" t="s">
        <v>46</v>
      </c>
      <c r="C66" s="90">
        <v>0.53402777777777777</v>
      </c>
      <c r="D66" s="53">
        <v>27.5</v>
      </c>
      <c r="E66" s="28">
        <v>78.2</v>
      </c>
      <c r="F66" s="53">
        <v>0</v>
      </c>
      <c r="G66" s="134" t="s">
        <v>149</v>
      </c>
      <c r="H66" s="121"/>
      <c r="I66" s="121"/>
      <c r="J66" s="121"/>
      <c r="K66" s="53" t="s">
        <v>214</v>
      </c>
      <c r="L66" s="53">
        <v>18.53</v>
      </c>
      <c r="M66" s="53">
        <v>76.7</v>
      </c>
      <c r="N66" s="53">
        <v>370</v>
      </c>
      <c r="O66" s="53">
        <v>224</v>
      </c>
      <c r="P66" s="53">
        <v>220</v>
      </c>
      <c r="Q66" s="134"/>
      <c r="R66" s="121"/>
      <c r="S66" s="121"/>
      <c r="T66" s="118"/>
      <c r="U66" s="119"/>
      <c r="V66" s="121"/>
      <c r="W66" s="149"/>
      <c r="X66" s="121"/>
      <c r="Y66" s="121"/>
      <c r="Z66" s="121"/>
    </row>
    <row r="67" spans="1:26" ht="14">
      <c r="A67" s="51"/>
      <c r="B67" s="65" t="s">
        <v>44</v>
      </c>
      <c r="C67" s="90">
        <v>4.791666666666667E-2</v>
      </c>
      <c r="D67" s="53" t="s">
        <v>132</v>
      </c>
      <c r="E67" s="53" t="s">
        <v>132</v>
      </c>
      <c r="F67" s="53" t="s">
        <v>132</v>
      </c>
      <c r="G67" s="134" t="s">
        <v>132</v>
      </c>
      <c r="H67" s="121"/>
      <c r="I67" s="121"/>
      <c r="J67" s="121"/>
      <c r="K67" s="53" t="s">
        <v>132</v>
      </c>
      <c r="L67" s="53" t="s">
        <v>132</v>
      </c>
      <c r="M67" s="53" t="s">
        <v>132</v>
      </c>
      <c r="N67" s="53" t="s">
        <v>132</v>
      </c>
      <c r="O67" s="53" t="s">
        <v>132</v>
      </c>
      <c r="P67" s="53" t="s">
        <v>132</v>
      </c>
      <c r="Q67" s="133" t="s">
        <v>133</v>
      </c>
      <c r="R67" s="121"/>
      <c r="S67" s="121"/>
      <c r="T67" s="118"/>
      <c r="U67" s="119"/>
      <c r="V67" s="121"/>
      <c r="W67" s="149"/>
      <c r="X67" s="121"/>
      <c r="Y67" s="121"/>
      <c r="Z67" s="121"/>
    </row>
    <row r="68" spans="1:26" ht="14">
      <c r="A68" s="65" t="s">
        <v>88</v>
      </c>
      <c r="B68" s="65" t="s">
        <v>42</v>
      </c>
      <c r="C68" s="52">
        <v>0.45416666666666666</v>
      </c>
      <c r="D68" s="53">
        <v>30.1</v>
      </c>
      <c r="E68" s="53">
        <v>76.7</v>
      </c>
      <c r="F68" s="53" t="s">
        <v>132</v>
      </c>
      <c r="G68" s="134" t="s">
        <v>215</v>
      </c>
      <c r="H68" s="121"/>
      <c r="I68" s="121"/>
      <c r="J68" s="121"/>
      <c r="K68" s="53">
        <v>67.599999999999994</v>
      </c>
      <c r="L68" s="53">
        <v>7.07</v>
      </c>
      <c r="M68" s="53" t="s">
        <v>155</v>
      </c>
      <c r="N68" s="53">
        <v>19.55</v>
      </c>
      <c r="O68" s="53">
        <v>81.59</v>
      </c>
      <c r="P68" s="53">
        <v>266</v>
      </c>
      <c r="Q68" s="134"/>
      <c r="R68" s="121"/>
      <c r="S68" s="121"/>
      <c r="T68" s="118"/>
      <c r="U68" s="119"/>
      <c r="V68" s="121"/>
      <c r="W68" s="150"/>
      <c r="X68" s="121"/>
      <c r="Y68" s="121"/>
      <c r="Z68" s="121"/>
    </row>
    <row r="69" spans="1:26" ht="14">
      <c r="A69" s="71"/>
      <c r="B69" s="72" t="s">
        <v>33</v>
      </c>
      <c r="C69" s="73">
        <v>0.46527777777777779</v>
      </c>
      <c r="D69" s="62">
        <v>34.5</v>
      </c>
      <c r="E69" s="62">
        <v>63.4</v>
      </c>
      <c r="F69" s="62" t="s">
        <v>216</v>
      </c>
      <c r="G69" s="124" t="s">
        <v>217</v>
      </c>
      <c r="H69" s="121"/>
      <c r="I69" s="121"/>
      <c r="J69" s="118"/>
      <c r="K69" s="62">
        <v>21.7</v>
      </c>
      <c r="L69" s="62">
        <v>29.1</v>
      </c>
      <c r="M69" s="62">
        <v>17.309999999999999</v>
      </c>
      <c r="N69" s="62">
        <v>14.07</v>
      </c>
      <c r="O69" s="62">
        <v>25.66</v>
      </c>
      <c r="P69" s="62">
        <v>50.03</v>
      </c>
      <c r="Q69" s="124" t="s">
        <v>218</v>
      </c>
      <c r="R69" s="121"/>
      <c r="S69" s="121"/>
      <c r="T69" s="118"/>
      <c r="U69" s="119"/>
      <c r="V69" s="121"/>
      <c r="W69" s="149"/>
      <c r="X69" s="121"/>
      <c r="Y69" s="121"/>
      <c r="Z69" s="121"/>
    </row>
    <row r="70" spans="1:26" ht="14">
      <c r="A70" s="71"/>
      <c r="B70" s="72" t="s">
        <v>39</v>
      </c>
      <c r="C70" s="73">
        <v>0.47152777777777777</v>
      </c>
      <c r="D70" s="62" t="s">
        <v>132</v>
      </c>
      <c r="E70" s="62" t="s">
        <v>132</v>
      </c>
      <c r="F70" s="62" t="s">
        <v>132</v>
      </c>
      <c r="G70" s="124" t="s">
        <v>132</v>
      </c>
      <c r="H70" s="121"/>
      <c r="I70" s="121"/>
      <c r="J70" s="121"/>
      <c r="K70" s="62" t="s">
        <v>132</v>
      </c>
      <c r="L70" s="62" t="s">
        <v>132</v>
      </c>
      <c r="M70" s="62" t="s">
        <v>132</v>
      </c>
      <c r="N70" s="62" t="s">
        <v>132</v>
      </c>
      <c r="O70" s="62" t="s">
        <v>132</v>
      </c>
      <c r="P70" s="62" t="s">
        <v>132</v>
      </c>
      <c r="Q70" s="135" t="s">
        <v>219</v>
      </c>
      <c r="R70" s="121"/>
      <c r="S70" s="121"/>
      <c r="T70" s="118"/>
      <c r="U70" s="119"/>
      <c r="V70" s="121"/>
      <c r="W70" s="149"/>
      <c r="X70" s="121"/>
      <c r="Y70" s="121"/>
      <c r="Z70" s="121"/>
    </row>
    <row r="71" spans="1:26" ht="14">
      <c r="A71" s="71"/>
      <c r="B71" s="72" t="s">
        <v>46</v>
      </c>
      <c r="C71" s="73">
        <v>0.48055555555555557</v>
      </c>
      <c r="D71" s="62" t="s">
        <v>132</v>
      </c>
      <c r="E71" s="62" t="s">
        <v>132</v>
      </c>
      <c r="F71" s="62" t="s">
        <v>132</v>
      </c>
      <c r="G71" s="124" t="s">
        <v>132</v>
      </c>
      <c r="H71" s="121"/>
      <c r="I71" s="121"/>
      <c r="J71" s="121"/>
      <c r="K71" s="62" t="s">
        <v>132</v>
      </c>
      <c r="L71" s="62" t="s">
        <v>132</v>
      </c>
      <c r="M71" s="62" t="s">
        <v>132</v>
      </c>
      <c r="N71" s="62" t="s">
        <v>132</v>
      </c>
      <c r="O71" s="62" t="s">
        <v>132</v>
      </c>
      <c r="P71" s="62" t="s">
        <v>132</v>
      </c>
      <c r="Q71" s="135" t="s">
        <v>219</v>
      </c>
      <c r="R71" s="121"/>
      <c r="S71" s="121"/>
      <c r="T71" s="118"/>
      <c r="U71" s="119"/>
      <c r="V71" s="121"/>
      <c r="W71" s="149"/>
      <c r="X71" s="121"/>
      <c r="Y71" s="121"/>
      <c r="Z71" s="121"/>
    </row>
    <row r="72" spans="1:26" ht="14">
      <c r="A72" s="65" t="s">
        <v>89</v>
      </c>
      <c r="B72" s="72" t="s">
        <v>42</v>
      </c>
      <c r="C72" s="73">
        <v>0.68263888888888891</v>
      </c>
      <c r="D72" s="62">
        <v>30</v>
      </c>
      <c r="E72" s="62">
        <v>72.400000000000006</v>
      </c>
      <c r="F72" s="62">
        <v>3370</v>
      </c>
      <c r="G72" s="124" t="s">
        <v>220</v>
      </c>
      <c r="H72" s="121"/>
      <c r="I72" s="121"/>
      <c r="J72" s="121"/>
      <c r="K72" s="62">
        <v>73.599999999999994</v>
      </c>
      <c r="L72" s="62">
        <v>10.43</v>
      </c>
      <c r="M72" s="62">
        <v>165</v>
      </c>
      <c r="N72" s="62">
        <v>42.19</v>
      </c>
      <c r="O72" s="62" t="s">
        <v>155</v>
      </c>
      <c r="P72" s="62">
        <v>167</v>
      </c>
      <c r="Q72" s="124"/>
      <c r="R72" s="121"/>
      <c r="S72" s="121"/>
      <c r="T72" s="118"/>
      <c r="U72" s="119"/>
      <c r="V72" s="121"/>
      <c r="W72" s="149"/>
      <c r="X72" s="121"/>
      <c r="Y72" s="121"/>
      <c r="Z72" s="121"/>
    </row>
    <row r="73" spans="1:26" ht="14">
      <c r="A73" s="71"/>
      <c r="B73" s="72" t="s">
        <v>33</v>
      </c>
      <c r="C73" s="73">
        <v>0.68958333333333333</v>
      </c>
      <c r="D73" s="62">
        <v>29.9</v>
      </c>
      <c r="E73" s="62">
        <v>71.900000000000006</v>
      </c>
      <c r="F73" s="62">
        <v>1652</v>
      </c>
      <c r="G73" s="124" t="s">
        <v>152</v>
      </c>
      <c r="H73" s="121"/>
      <c r="I73" s="121"/>
      <c r="J73" s="121"/>
      <c r="K73" s="62">
        <v>52.7</v>
      </c>
      <c r="L73" s="62">
        <v>49.61</v>
      </c>
      <c r="M73" s="62">
        <v>28.45</v>
      </c>
      <c r="N73" s="62">
        <v>31.26</v>
      </c>
      <c r="O73" s="62">
        <v>39.729999999999997</v>
      </c>
      <c r="P73" s="62">
        <v>238.6</v>
      </c>
      <c r="Q73" s="124"/>
      <c r="R73" s="121"/>
      <c r="S73" s="121"/>
      <c r="T73" s="118"/>
      <c r="U73" s="119"/>
      <c r="V73" s="121"/>
      <c r="W73" s="149"/>
      <c r="X73" s="121"/>
      <c r="Y73" s="121"/>
      <c r="Z73" s="121"/>
    </row>
    <row r="74" spans="1:26" ht="14">
      <c r="A74" s="71"/>
      <c r="B74" s="72" t="s">
        <v>39</v>
      </c>
      <c r="C74" s="73">
        <v>0.69861111111111107</v>
      </c>
      <c r="D74" s="62" t="s">
        <v>132</v>
      </c>
      <c r="E74" s="62" t="s">
        <v>132</v>
      </c>
      <c r="F74" s="62" t="s">
        <v>132</v>
      </c>
      <c r="G74" s="124" t="s">
        <v>152</v>
      </c>
      <c r="H74" s="121"/>
      <c r="I74" s="121"/>
      <c r="J74" s="121"/>
      <c r="K74" s="62">
        <v>120.4</v>
      </c>
      <c r="L74" s="62">
        <v>13.64</v>
      </c>
      <c r="M74" s="62">
        <v>257</v>
      </c>
      <c r="N74" s="62">
        <v>55.62</v>
      </c>
      <c r="O74" s="62">
        <v>115.15</v>
      </c>
      <c r="P74" s="62">
        <v>180</v>
      </c>
      <c r="Q74" s="136" t="s">
        <v>211</v>
      </c>
      <c r="R74" s="121"/>
      <c r="S74" s="121"/>
      <c r="T74" s="118"/>
      <c r="U74" s="119"/>
      <c r="V74" s="121"/>
      <c r="W74" s="149"/>
      <c r="X74" s="121"/>
      <c r="Y74" s="121"/>
      <c r="Z74" s="121"/>
    </row>
    <row r="75" spans="1:26" ht="14">
      <c r="A75" s="74"/>
      <c r="B75" s="72" t="s">
        <v>48</v>
      </c>
      <c r="C75" s="73">
        <v>0.70416666666666672</v>
      </c>
      <c r="D75" s="62">
        <v>29.9</v>
      </c>
      <c r="E75" s="62">
        <v>69.599999999999994</v>
      </c>
      <c r="F75" s="62">
        <v>2240</v>
      </c>
      <c r="G75" s="124" t="s">
        <v>152</v>
      </c>
      <c r="H75" s="121"/>
      <c r="I75" s="121"/>
      <c r="J75" s="121"/>
      <c r="K75" s="62">
        <v>74.8</v>
      </c>
      <c r="L75" s="62">
        <v>16.510000000000002</v>
      </c>
      <c r="M75" s="62">
        <v>42.37</v>
      </c>
      <c r="N75" s="62">
        <v>104.56</v>
      </c>
      <c r="O75" s="62">
        <v>15.44</v>
      </c>
      <c r="P75" s="62">
        <v>24.67</v>
      </c>
      <c r="Q75" s="133" t="s">
        <v>221</v>
      </c>
      <c r="R75" s="121"/>
      <c r="S75" s="121"/>
      <c r="T75" s="118"/>
      <c r="U75" s="119"/>
      <c r="V75" s="121"/>
      <c r="W75" s="149"/>
      <c r="X75" s="121"/>
      <c r="Y75" s="121"/>
      <c r="Z75" s="121"/>
    </row>
    <row r="76" spans="1:26" ht="14">
      <c r="A76" s="65" t="s">
        <v>222</v>
      </c>
      <c r="B76" s="72" t="s">
        <v>42</v>
      </c>
      <c r="C76" s="93">
        <v>0.17222222222222222</v>
      </c>
      <c r="D76" s="62">
        <v>24.2</v>
      </c>
      <c r="E76" s="62">
        <v>80</v>
      </c>
      <c r="F76" s="62">
        <v>0</v>
      </c>
      <c r="G76" s="124" t="s">
        <v>149</v>
      </c>
      <c r="H76" s="121"/>
      <c r="I76" s="121"/>
      <c r="J76" s="121"/>
      <c r="K76" s="62">
        <v>63.3</v>
      </c>
      <c r="L76" s="62">
        <v>9.6</v>
      </c>
      <c r="M76" s="62">
        <v>67.099999999999994</v>
      </c>
      <c r="N76" s="62">
        <v>9.1</v>
      </c>
      <c r="O76" s="62">
        <v>98.32</v>
      </c>
      <c r="P76" s="62">
        <v>61.72</v>
      </c>
      <c r="Q76" s="124"/>
      <c r="R76" s="121"/>
      <c r="S76" s="121"/>
      <c r="T76" s="118"/>
      <c r="U76" s="119"/>
      <c r="V76" s="121"/>
      <c r="W76" s="154"/>
      <c r="X76" s="121"/>
      <c r="Y76" s="121"/>
      <c r="Z76" s="121"/>
    </row>
    <row r="77" spans="1:26" ht="14">
      <c r="A77" s="74"/>
      <c r="B77" s="72" t="s">
        <v>33</v>
      </c>
      <c r="C77" s="93">
        <v>0.17708333333333334</v>
      </c>
      <c r="D77" s="62">
        <v>24.4</v>
      </c>
      <c r="E77" s="62">
        <v>81.3</v>
      </c>
      <c r="F77" s="62">
        <v>0</v>
      </c>
      <c r="G77" s="124" t="s">
        <v>149</v>
      </c>
      <c r="H77" s="121"/>
      <c r="I77" s="121"/>
      <c r="J77" s="121"/>
      <c r="K77" s="62">
        <v>98.6</v>
      </c>
      <c r="L77" s="62">
        <v>14.95</v>
      </c>
      <c r="M77" s="62">
        <v>51.4</v>
      </c>
      <c r="N77" s="62" t="s">
        <v>155</v>
      </c>
      <c r="O77" s="62">
        <v>73.400000000000006</v>
      </c>
      <c r="P77" s="62">
        <v>101.56</v>
      </c>
      <c r="Q77" s="124"/>
      <c r="R77" s="121"/>
      <c r="S77" s="121"/>
      <c r="T77" s="118"/>
      <c r="U77" s="119"/>
      <c r="V77" s="121"/>
      <c r="W77" s="154"/>
      <c r="X77" s="121"/>
      <c r="Y77" s="121"/>
      <c r="Z77" s="121"/>
    </row>
    <row r="78" spans="1:26" ht="14">
      <c r="A78" s="74"/>
      <c r="B78" s="72" t="s">
        <v>39</v>
      </c>
      <c r="C78" s="93">
        <v>0.19027777777777777</v>
      </c>
      <c r="D78" s="62">
        <v>25.5</v>
      </c>
      <c r="E78" s="62">
        <v>78.599999999999994</v>
      </c>
      <c r="F78" s="62">
        <v>0</v>
      </c>
      <c r="G78" s="124" t="s">
        <v>149</v>
      </c>
      <c r="H78" s="121"/>
      <c r="I78" s="121"/>
      <c r="J78" s="121"/>
      <c r="K78" s="62">
        <v>120.4</v>
      </c>
      <c r="L78" s="62">
        <v>13.64</v>
      </c>
      <c r="M78" s="62">
        <v>275</v>
      </c>
      <c r="N78" s="62">
        <v>55.62</v>
      </c>
      <c r="O78" s="62">
        <v>115.15</v>
      </c>
      <c r="P78" s="62">
        <v>180</v>
      </c>
      <c r="Q78" s="125" t="s">
        <v>195</v>
      </c>
      <c r="R78" s="121"/>
      <c r="S78" s="121"/>
      <c r="T78" s="118"/>
      <c r="U78" s="119"/>
      <c r="V78" s="121"/>
      <c r="W78" s="154"/>
      <c r="X78" s="121"/>
      <c r="Y78" s="121"/>
      <c r="Z78" s="121"/>
    </row>
    <row r="79" spans="1:26" ht="15.5">
      <c r="D79" s="34"/>
      <c r="E79" s="34"/>
      <c r="F79" s="34"/>
      <c r="G79" s="34"/>
      <c r="H79" s="34"/>
      <c r="I79" s="69"/>
      <c r="J79" s="69"/>
      <c r="K79" s="69"/>
      <c r="L79" s="69"/>
      <c r="M79" s="78"/>
      <c r="N79" s="78"/>
      <c r="U79" s="119"/>
      <c r="V79" s="121"/>
      <c r="W79" s="154"/>
      <c r="X79" s="121"/>
      <c r="Y79" s="121"/>
      <c r="Z79" s="121"/>
    </row>
    <row r="80" spans="1:26" ht="15.5">
      <c r="D80" s="34"/>
      <c r="E80" s="34"/>
      <c r="F80" s="34"/>
      <c r="G80" s="34"/>
      <c r="H80" s="34"/>
      <c r="I80" s="69"/>
      <c r="J80" s="69"/>
      <c r="K80" s="69"/>
      <c r="L80" s="69"/>
      <c r="M80" s="78"/>
      <c r="N80" s="78"/>
      <c r="U80" s="119"/>
      <c r="V80" s="121"/>
      <c r="W80" s="154"/>
      <c r="X80" s="121"/>
      <c r="Y80" s="121"/>
      <c r="Z80" s="121"/>
    </row>
    <row r="81" spans="4:26" ht="15.5">
      <c r="D81" s="34"/>
      <c r="E81" s="34"/>
      <c r="F81" s="34"/>
      <c r="G81" s="34"/>
      <c r="H81" s="34"/>
      <c r="I81" s="69"/>
      <c r="J81" s="69"/>
      <c r="K81" s="69"/>
      <c r="L81" s="69"/>
      <c r="M81" s="78"/>
      <c r="N81" s="78"/>
      <c r="U81" s="119"/>
      <c r="V81" s="121"/>
      <c r="W81" s="154"/>
      <c r="X81" s="121"/>
      <c r="Y81" s="121"/>
      <c r="Z81" s="121"/>
    </row>
    <row r="82" spans="4:26" ht="15.5">
      <c r="D82" s="34"/>
      <c r="E82" s="34"/>
      <c r="F82" s="34"/>
      <c r="G82" s="34"/>
      <c r="H82" s="34"/>
      <c r="I82" s="69"/>
      <c r="J82" s="69"/>
      <c r="K82" s="69"/>
      <c r="L82" s="69"/>
      <c r="M82" s="78"/>
      <c r="N82" s="78"/>
      <c r="U82" s="119"/>
      <c r="V82" s="121"/>
      <c r="W82" s="154"/>
      <c r="X82" s="121"/>
      <c r="Y82" s="121"/>
      <c r="Z82" s="121"/>
    </row>
    <row r="83" spans="4:26" ht="15.5">
      <c r="D83" s="34"/>
      <c r="E83" s="34"/>
      <c r="F83" s="34"/>
      <c r="G83" s="34"/>
      <c r="H83" s="34"/>
      <c r="I83" s="69"/>
      <c r="J83" s="69"/>
      <c r="K83" s="69"/>
      <c r="L83" s="69"/>
      <c r="M83" s="78"/>
      <c r="N83" s="78"/>
      <c r="U83" s="119"/>
      <c r="V83" s="121"/>
      <c r="W83" s="147"/>
      <c r="X83" s="121"/>
      <c r="Y83" s="121"/>
      <c r="Z83" s="121"/>
    </row>
    <row r="84" spans="4:26" ht="15.5">
      <c r="D84" s="34"/>
      <c r="E84" s="34"/>
      <c r="F84" s="34"/>
      <c r="G84" s="34"/>
      <c r="H84" s="34"/>
      <c r="I84" s="69"/>
      <c r="J84" s="69"/>
      <c r="K84" s="69"/>
      <c r="L84" s="69"/>
      <c r="M84" s="78"/>
      <c r="N84" s="78"/>
      <c r="U84" s="119"/>
      <c r="V84" s="121"/>
      <c r="W84" s="147"/>
      <c r="X84" s="121"/>
      <c r="Y84" s="121"/>
      <c r="Z84" s="121"/>
    </row>
    <row r="85" spans="4:26" ht="15.5">
      <c r="D85" s="34"/>
      <c r="E85" s="34"/>
      <c r="F85" s="34"/>
      <c r="G85" s="34"/>
      <c r="H85" s="34"/>
      <c r="I85" s="69"/>
      <c r="J85" s="69"/>
      <c r="K85" s="69"/>
      <c r="L85" s="69"/>
      <c r="M85" s="78"/>
      <c r="N85" s="78"/>
      <c r="U85" s="119"/>
      <c r="V85" s="121"/>
      <c r="W85" s="147"/>
      <c r="X85" s="121"/>
      <c r="Y85" s="121"/>
      <c r="Z85" s="121"/>
    </row>
    <row r="86" spans="4:26" ht="15.5">
      <c r="D86" s="34"/>
      <c r="E86" s="34"/>
      <c r="F86" s="34"/>
      <c r="G86" s="34"/>
      <c r="H86" s="34"/>
      <c r="I86" s="69"/>
      <c r="J86" s="69"/>
      <c r="K86" s="69"/>
      <c r="L86" s="69"/>
      <c r="M86" s="78"/>
      <c r="N86" s="78"/>
      <c r="U86" s="119"/>
      <c r="V86" s="121"/>
      <c r="W86" s="147"/>
      <c r="X86" s="121"/>
      <c r="Y86" s="121"/>
      <c r="Z86" s="121"/>
    </row>
    <row r="87" spans="4:26" ht="15.5">
      <c r="D87" s="34"/>
      <c r="E87" s="34"/>
      <c r="F87" s="34"/>
      <c r="G87" s="34"/>
      <c r="H87" s="34"/>
      <c r="I87" s="69"/>
      <c r="J87" s="69"/>
      <c r="K87" s="69"/>
      <c r="L87" s="69"/>
      <c r="M87" s="78"/>
      <c r="N87" s="78"/>
      <c r="U87" s="119"/>
      <c r="V87" s="121"/>
      <c r="W87" s="147"/>
      <c r="X87" s="121"/>
      <c r="Y87" s="121"/>
      <c r="Z87" s="121"/>
    </row>
    <row r="88" spans="4:26" ht="15.5">
      <c r="D88" s="34"/>
      <c r="E88" s="34"/>
      <c r="F88" s="34"/>
      <c r="G88" s="34"/>
      <c r="H88" s="34"/>
      <c r="I88" s="69"/>
      <c r="J88" s="69"/>
      <c r="K88" s="69"/>
      <c r="L88" s="69"/>
      <c r="M88" s="78"/>
      <c r="N88" s="78"/>
      <c r="U88" s="119"/>
      <c r="V88" s="121"/>
      <c r="W88" s="147"/>
      <c r="X88" s="121"/>
      <c r="Y88" s="121"/>
      <c r="Z88" s="121"/>
    </row>
    <row r="89" spans="4:26" ht="15.5">
      <c r="D89" s="34"/>
      <c r="E89" s="34"/>
      <c r="F89" s="34"/>
      <c r="G89" s="34"/>
      <c r="H89" s="34"/>
      <c r="I89" s="69"/>
      <c r="J89" s="69"/>
      <c r="K89" s="69"/>
      <c r="L89" s="69"/>
      <c r="M89" s="78"/>
      <c r="N89" s="78"/>
      <c r="U89" s="119"/>
      <c r="V89" s="121"/>
      <c r="W89" s="147"/>
      <c r="X89" s="121"/>
      <c r="Y89" s="121"/>
      <c r="Z89" s="121"/>
    </row>
    <row r="90" spans="4:26" ht="15.5">
      <c r="D90" s="34"/>
      <c r="E90" s="34"/>
      <c r="F90" s="34"/>
      <c r="G90" s="34"/>
      <c r="H90" s="34"/>
      <c r="I90" s="69"/>
      <c r="J90" s="69"/>
      <c r="K90" s="69"/>
      <c r="L90" s="69"/>
      <c r="M90" s="78"/>
      <c r="N90" s="78"/>
      <c r="U90" s="119"/>
      <c r="V90" s="121"/>
      <c r="W90" s="147"/>
      <c r="X90" s="121"/>
      <c r="Y90" s="121"/>
      <c r="Z90" s="121"/>
    </row>
    <row r="91" spans="4:26" ht="15.5">
      <c r="D91" s="34"/>
      <c r="E91" s="34"/>
      <c r="F91" s="34"/>
      <c r="G91" s="34"/>
      <c r="H91" s="34"/>
      <c r="I91" s="69"/>
      <c r="J91" s="69"/>
      <c r="K91" s="69"/>
      <c r="L91" s="69"/>
      <c r="M91" s="78"/>
      <c r="N91" s="78"/>
      <c r="U91" s="119"/>
      <c r="V91" s="121"/>
      <c r="W91" s="147"/>
      <c r="X91" s="121"/>
      <c r="Y91" s="121"/>
      <c r="Z91" s="121"/>
    </row>
    <row r="92" spans="4:26" ht="15.5">
      <c r="D92" s="34"/>
      <c r="E92" s="34"/>
      <c r="F92" s="34"/>
      <c r="G92" s="34"/>
      <c r="H92" s="34"/>
      <c r="I92" s="69"/>
      <c r="J92" s="69"/>
      <c r="K92" s="69"/>
      <c r="L92" s="69"/>
      <c r="M92" s="78"/>
      <c r="N92" s="78"/>
      <c r="U92" s="119"/>
      <c r="V92" s="121"/>
      <c r="W92" s="147"/>
      <c r="X92" s="121"/>
      <c r="Y92" s="121"/>
      <c r="Z92" s="121"/>
    </row>
    <row r="93" spans="4:26" ht="15.5">
      <c r="D93" s="34"/>
      <c r="E93" s="34"/>
      <c r="F93" s="34"/>
      <c r="G93" s="34"/>
      <c r="H93" s="34"/>
      <c r="I93" s="69"/>
      <c r="J93" s="69"/>
      <c r="K93" s="69"/>
      <c r="L93" s="69"/>
      <c r="M93" s="78"/>
      <c r="N93" s="78"/>
      <c r="U93" s="119"/>
      <c r="V93" s="121"/>
      <c r="W93" s="147"/>
      <c r="X93" s="121"/>
      <c r="Y93" s="121"/>
      <c r="Z93" s="121"/>
    </row>
    <row r="94" spans="4:26" ht="15.5">
      <c r="D94" s="34"/>
      <c r="E94" s="34"/>
      <c r="F94" s="34"/>
      <c r="G94" s="34"/>
      <c r="H94" s="34"/>
      <c r="I94" s="69"/>
      <c r="J94" s="69"/>
      <c r="K94" s="69"/>
      <c r="L94" s="69"/>
      <c r="M94" s="78"/>
      <c r="N94" s="78"/>
      <c r="U94" s="119"/>
      <c r="V94" s="121"/>
      <c r="W94" s="147"/>
      <c r="X94" s="121"/>
      <c r="Y94" s="121"/>
      <c r="Z94" s="121"/>
    </row>
    <row r="95" spans="4:26" ht="15.5">
      <c r="D95" s="34"/>
      <c r="E95" s="34"/>
      <c r="F95" s="34"/>
      <c r="G95" s="34"/>
      <c r="H95" s="34"/>
      <c r="I95" s="69"/>
      <c r="J95" s="69"/>
      <c r="K95" s="69"/>
      <c r="L95" s="69"/>
      <c r="M95" s="78"/>
      <c r="N95" s="78"/>
      <c r="U95" s="119"/>
      <c r="V95" s="121"/>
      <c r="W95" s="147"/>
      <c r="X95" s="121"/>
      <c r="Y95" s="121"/>
      <c r="Z95" s="121"/>
    </row>
    <row r="96" spans="4:26" ht="15.5">
      <c r="D96" s="34"/>
      <c r="E96" s="34"/>
      <c r="F96" s="34"/>
      <c r="G96" s="34"/>
      <c r="H96" s="34"/>
      <c r="I96" s="69"/>
      <c r="J96" s="69"/>
      <c r="K96" s="69"/>
      <c r="L96" s="69"/>
      <c r="M96" s="78"/>
      <c r="N96" s="78"/>
      <c r="U96" s="119"/>
      <c r="V96" s="121"/>
      <c r="W96" s="147"/>
      <c r="X96" s="121"/>
      <c r="Y96" s="121"/>
      <c r="Z96" s="121"/>
    </row>
    <row r="97" spans="4:26" ht="15.5">
      <c r="D97" s="34"/>
      <c r="E97" s="34"/>
      <c r="F97" s="34"/>
      <c r="G97" s="34"/>
      <c r="H97" s="34"/>
      <c r="I97" s="69"/>
      <c r="J97" s="69"/>
      <c r="K97" s="69"/>
      <c r="L97" s="69"/>
      <c r="M97" s="78"/>
      <c r="N97" s="78"/>
      <c r="U97" s="119"/>
      <c r="V97" s="121"/>
      <c r="W97" s="149"/>
      <c r="X97" s="121"/>
      <c r="Y97" s="121"/>
      <c r="Z97" s="121"/>
    </row>
    <row r="98" spans="4:26" ht="15.5">
      <c r="D98" s="34"/>
      <c r="E98" s="34"/>
      <c r="F98" s="34"/>
      <c r="G98" s="34"/>
      <c r="H98" s="34"/>
      <c r="I98" s="69"/>
      <c r="J98" s="69"/>
      <c r="K98" s="69"/>
      <c r="L98" s="69"/>
      <c r="M98" s="78"/>
      <c r="N98" s="78"/>
      <c r="U98" s="119"/>
      <c r="V98" s="121"/>
      <c r="W98" s="150"/>
      <c r="X98" s="121"/>
      <c r="Y98" s="121"/>
      <c r="Z98" s="121"/>
    </row>
    <row r="99" spans="4:26" ht="15.5">
      <c r="D99" s="34"/>
      <c r="E99" s="34"/>
      <c r="F99" s="34"/>
      <c r="G99" s="34"/>
      <c r="H99" s="34"/>
      <c r="I99" s="69"/>
      <c r="J99" s="69"/>
      <c r="K99" s="69"/>
      <c r="L99" s="69"/>
      <c r="M99" s="78"/>
      <c r="N99" s="78"/>
      <c r="U99" s="119"/>
      <c r="V99" s="121"/>
      <c r="W99" s="147"/>
      <c r="X99" s="121"/>
      <c r="Y99" s="121"/>
      <c r="Z99" s="121"/>
    </row>
    <row r="100" spans="4:26" ht="15.5">
      <c r="D100" s="34"/>
      <c r="E100" s="34"/>
      <c r="F100" s="34"/>
      <c r="G100" s="34"/>
      <c r="H100" s="34"/>
      <c r="I100" s="69"/>
      <c r="J100" s="69"/>
      <c r="K100" s="69"/>
      <c r="L100" s="69"/>
      <c r="M100" s="78"/>
      <c r="N100" s="78"/>
      <c r="U100" s="119"/>
      <c r="V100" s="121"/>
      <c r="W100" s="147"/>
      <c r="X100" s="121"/>
      <c r="Y100" s="121"/>
      <c r="Z100" s="121"/>
    </row>
    <row r="101" spans="4:26" ht="15.5">
      <c r="D101" s="34"/>
      <c r="E101" s="34"/>
      <c r="F101" s="34"/>
      <c r="G101" s="34"/>
      <c r="H101" s="34"/>
      <c r="I101" s="69"/>
      <c r="J101" s="69"/>
      <c r="K101" s="69"/>
      <c r="L101" s="69"/>
      <c r="M101" s="78"/>
      <c r="N101" s="78"/>
      <c r="U101" s="119"/>
      <c r="V101" s="121"/>
      <c r="W101" s="149"/>
      <c r="X101" s="121"/>
      <c r="Y101" s="121"/>
      <c r="Z101" s="121"/>
    </row>
    <row r="102" spans="4:26" ht="15.5">
      <c r="D102" s="34"/>
      <c r="E102" s="34"/>
      <c r="F102" s="34"/>
      <c r="G102" s="34"/>
      <c r="H102" s="34"/>
      <c r="I102" s="69"/>
      <c r="J102" s="69"/>
      <c r="K102" s="69"/>
      <c r="L102" s="69"/>
      <c r="M102" s="78"/>
      <c r="N102" s="78"/>
      <c r="U102" s="119"/>
      <c r="V102" s="121"/>
      <c r="W102" s="149"/>
      <c r="X102" s="121"/>
      <c r="Y102" s="121"/>
      <c r="Z102" s="121"/>
    </row>
    <row r="103" spans="4:26" ht="15.5">
      <c r="D103" s="34"/>
      <c r="E103" s="34"/>
      <c r="F103" s="34"/>
      <c r="G103" s="34"/>
      <c r="H103" s="34"/>
      <c r="I103" s="69"/>
      <c r="J103" s="69"/>
      <c r="K103" s="69"/>
      <c r="L103" s="69"/>
      <c r="M103" s="78"/>
      <c r="N103" s="78"/>
      <c r="U103" s="119"/>
      <c r="V103" s="121"/>
      <c r="W103" s="150"/>
      <c r="X103" s="121"/>
      <c r="Y103" s="121"/>
      <c r="Z103" s="121"/>
    </row>
    <row r="104" spans="4:26" ht="15.5">
      <c r="D104" s="34"/>
      <c r="E104" s="34"/>
      <c r="F104" s="34"/>
      <c r="G104" s="34"/>
      <c r="H104" s="34"/>
      <c r="I104" s="69"/>
      <c r="J104" s="69"/>
      <c r="K104" s="69"/>
      <c r="L104" s="69"/>
      <c r="M104" s="78"/>
      <c r="N104" s="78"/>
      <c r="U104" s="119"/>
      <c r="V104" s="121"/>
      <c r="W104" s="150"/>
      <c r="X104" s="121"/>
      <c r="Y104" s="121"/>
      <c r="Z104" s="121"/>
    </row>
    <row r="105" spans="4:26" ht="15.5">
      <c r="D105" s="34"/>
      <c r="E105" s="34"/>
      <c r="F105" s="34"/>
      <c r="G105" s="34"/>
      <c r="H105" s="34"/>
      <c r="I105" s="69"/>
      <c r="J105" s="69"/>
      <c r="K105" s="69"/>
      <c r="L105" s="69"/>
      <c r="M105" s="78"/>
      <c r="N105" s="78"/>
      <c r="U105" s="119"/>
      <c r="V105" s="121"/>
      <c r="W105" s="149"/>
      <c r="X105" s="121"/>
      <c r="Y105" s="121"/>
      <c r="Z105" s="121"/>
    </row>
    <row r="106" spans="4:26" ht="15.5">
      <c r="D106" s="34"/>
      <c r="E106" s="34"/>
      <c r="F106" s="34"/>
      <c r="G106" s="34"/>
      <c r="H106" s="34"/>
      <c r="I106" s="69"/>
      <c r="J106" s="69"/>
      <c r="K106" s="69"/>
      <c r="L106" s="69"/>
      <c r="M106" s="78"/>
      <c r="N106" s="78"/>
      <c r="U106" s="119"/>
      <c r="V106" s="121"/>
      <c r="W106" s="149"/>
      <c r="X106" s="121"/>
      <c r="Y106" s="121"/>
      <c r="Z106" s="121"/>
    </row>
    <row r="107" spans="4:26" ht="15.5">
      <c r="D107" s="34"/>
      <c r="E107" s="34"/>
      <c r="F107" s="34"/>
      <c r="G107" s="34"/>
      <c r="H107" s="34"/>
      <c r="I107" s="69"/>
      <c r="J107" s="69"/>
      <c r="K107" s="69"/>
      <c r="L107" s="69"/>
      <c r="M107" s="78"/>
      <c r="N107" s="78"/>
      <c r="U107" s="119"/>
      <c r="V107" s="121"/>
      <c r="W107" s="150"/>
      <c r="X107" s="121"/>
      <c r="Y107" s="121"/>
      <c r="Z107" s="121"/>
    </row>
    <row r="108" spans="4:26" ht="15.5">
      <c r="D108" s="34"/>
      <c r="E108" s="34"/>
      <c r="F108" s="34"/>
      <c r="G108" s="34"/>
      <c r="H108" s="34"/>
      <c r="I108" s="69"/>
      <c r="J108" s="69"/>
      <c r="K108" s="69"/>
      <c r="L108" s="69"/>
      <c r="M108" s="78"/>
      <c r="N108" s="78"/>
      <c r="U108" s="119"/>
      <c r="V108" s="121"/>
      <c r="W108" s="149"/>
      <c r="X108" s="121"/>
      <c r="Y108" s="121"/>
      <c r="Z108" s="121"/>
    </row>
    <row r="109" spans="4:26" ht="15.5">
      <c r="D109" s="34"/>
      <c r="E109" s="34"/>
      <c r="F109" s="34"/>
      <c r="G109" s="34"/>
      <c r="H109" s="34"/>
      <c r="I109" s="69"/>
      <c r="J109" s="69"/>
      <c r="K109" s="69"/>
      <c r="L109" s="69"/>
      <c r="M109" s="78"/>
      <c r="N109" s="78"/>
    </row>
    <row r="110" spans="4:26" ht="15.5">
      <c r="D110" s="34"/>
      <c r="E110" s="34"/>
      <c r="F110" s="34"/>
      <c r="G110" s="34"/>
      <c r="H110" s="34"/>
      <c r="I110" s="69"/>
      <c r="J110" s="69"/>
      <c r="K110" s="69"/>
      <c r="L110" s="69"/>
      <c r="M110" s="78"/>
      <c r="N110" s="78"/>
    </row>
    <row r="111" spans="4:26" ht="15.5">
      <c r="D111" s="34"/>
      <c r="E111" s="34"/>
      <c r="F111" s="34"/>
      <c r="G111" s="34"/>
      <c r="H111" s="34"/>
      <c r="I111" s="69"/>
      <c r="J111" s="69"/>
      <c r="K111" s="69"/>
      <c r="L111" s="69"/>
      <c r="M111" s="78"/>
      <c r="N111" s="78"/>
    </row>
    <row r="112" spans="4:26" ht="15.5">
      <c r="D112" s="34"/>
      <c r="E112" s="34"/>
      <c r="F112" s="34"/>
      <c r="G112" s="34"/>
      <c r="H112" s="34"/>
      <c r="I112" s="69"/>
      <c r="J112" s="69"/>
      <c r="K112" s="69"/>
      <c r="L112" s="69"/>
      <c r="M112" s="78"/>
      <c r="N112" s="78"/>
    </row>
    <row r="113" spans="4:14" ht="15.5">
      <c r="D113" s="34"/>
      <c r="E113" s="34"/>
      <c r="F113" s="34"/>
      <c r="G113" s="34"/>
      <c r="H113" s="34"/>
      <c r="I113" s="69"/>
      <c r="J113" s="69"/>
      <c r="K113" s="69"/>
      <c r="L113" s="69"/>
      <c r="M113" s="78"/>
      <c r="N113" s="78"/>
    </row>
    <row r="114" spans="4:14" ht="15.5">
      <c r="D114" s="34"/>
      <c r="E114" s="34"/>
      <c r="F114" s="34"/>
      <c r="G114" s="34"/>
      <c r="H114" s="34"/>
      <c r="I114" s="69"/>
      <c r="J114" s="69"/>
      <c r="K114" s="69"/>
      <c r="L114" s="69"/>
      <c r="M114" s="78"/>
      <c r="N114" s="78"/>
    </row>
    <row r="115" spans="4:14" ht="15.5">
      <c r="D115" s="34"/>
      <c r="E115" s="34"/>
      <c r="F115" s="34"/>
      <c r="G115" s="34"/>
      <c r="H115" s="34"/>
      <c r="I115" s="69"/>
      <c r="J115" s="69"/>
      <c r="K115" s="69"/>
      <c r="L115" s="69"/>
      <c r="M115" s="78"/>
      <c r="N115" s="78"/>
    </row>
    <row r="116" spans="4:14" ht="15.5">
      <c r="D116" s="34"/>
      <c r="E116" s="34"/>
      <c r="F116" s="34"/>
      <c r="G116" s="34"/>
      <c r="H116" s="34"/>
      <c r="I116" s="69"/>
      <c r="J116" s="69"/>
      <c r="K116" s="69"/>
      <c r="L116" s="69"/>
      <c r="M116" s="78"/>
      <c r="N116" s="78"/>
    </row>
    <row r="117" spans="4:14" ht="15.5">
      <c r="D117" s="34"/>
      <c r="E117" s="34"/>
      <c r="F117" s="34"/>
      <c r="G117" s="34"/>
      <c r="H117" s="34"/>
      <c r="I117" s="34"/>
      <c r="J117" s="34"/>
      <c r="K117" s="69"/>
      <c r="L117" s="69"/>
      <c r="M117" s="78"/>
      <c r="N117" s="78"/>
    </row>
    <row r="118" spans="4:14" ht="15.5">
      <c r="D118" s="34"/>
      <c r="E118" s="34"/>
      <c r="F118" s="34"/>
      <c r="G118" s="34"/>
      <c r="H118" s="34"/>
      <c r="I118" s="34"/>
      <c r="J118" s="34"/>
      <c r="K118" s="69"/>
      <c r="L118" s="69"/>
      <c r="M118" s="78"/>
      <c r="N118" s="78"/>
    </row>
    <row r="119" spans="4:14" ht="15.5">
      <c r="D119" s="34"/>
      <c r="E119" s="34"/>
      <c r="F119" s="34"/>
      <c r="G119" s="34"/>
      <c r="H119" s="34"/>
      <c r="I119" s="34"/>
      <c r="J119" s="34"/>
      <c r="K119" s="69"/>
      <c r="L119" s="69"/>
      <c r="M119" s="78"/>
      <c r="N119" s="78"/>
    </row>
    <row r="120" spans="4:14" ht="15.5">
      <c r="D120" s="34"/>
      <c r="E120" s="34"/>
      <c r="F120" s="34"/>
      <c r="G120" s="34"/>
      <c r="H120" s="34"/>
      <c r="I120" s="34"/>
      <c r="J120" s="34"/>
      <c r="K120" s="69"/>
      <c r="L120" s="69"/>
      <c r="M120" s="78"/>
      <c r="N120" s="78"/>
    </row>
    <row r="121" spans="4:14" ht="15.5">
      <c r="D121" s="34"/>
      <c r="E121" s="34"/>
      <c r="F121" s="34"/>
      <c r="G121" s="34"/>
      <c r="H121" s="34"/>
      <c r="I121" s="34"/>
      <c r="J121" s="34"/>
      <c r="K121" s="69"/>
      <c r="L121" s="69"/>
      <c r="M121" s="78"/>
      <c r="N121" s="78"/>
    </row>
    <row r="122" spans="4:14" ht="15.5">
      <c r="D122" s="34"/>
      <c r="E122" s="34"/>
      <c r="F122" s="34"/>
      <c r="G122" s="34"/>
      <c r="H122" s="34"/>
      <c r="I122" s="34"/>
      <c r="J122" s="34"/>
      <c r="K122" s="69"/>
      <c r="L122" s="69"/>
      <c r="M122" s="78"/>
      <c r="N122" s="78"/>
    </row>
    <row r="123" spans="4:14" ht="12.5">
      <c r="D123" s="34"/>
      <c r="E123" s="34"/>
      <c r="F123" s="34"/>
      <c r="G123" s="34"/>
      <c r="H123" s="34"/>
      <c r="I123" s="34"/>
      <c r="J123" s="34"/>
      <c r="K123" s="34"/>
      <c r="L123" s="34"/>
    </row>
    <row r="124" spans="4:14" ht="12.5">
      <c r="D124" s="34"/>
      <c r="E124" s="34"/>
      <c r="F124" s="34"/>
      <c r="G124" s="34"/>
      <c r="H124" s="34"/>
      <c r="I124" s="34"/>
      <c r="J124" s="34"/>
      <c r="K124" s="34"/>
      <c r="L124" s="34"/>
    </row>
    <row r="125" spans="4:14" ht="12.5">
      <c r="D125" s="34"/>
      <c r="E125" s="34"/>
      <c r="F125" s="34"/>
      <c r="G125" s="34"/>
      <c r="H125" s="34"/>
      <c r="I125" s="34"/>
      <c r="J125" s="34"/>
      <c r="K125" s="34"/>
      <c r="L125" s="34"/>
    </row>
    <row r="126" spans="4:14" ht="12.5">
      <c r="D126" s="34"/>
      <c r="E126" s="34"/>
      <c r="F126" s="34"/>
      <c r="G126" s="34"/>
      <c r="H126" s="34"/>
      <c r="I126" s="34"/>
      <c r="J126" s="34"/>
      <c r="K126" s="34"/>
      <c r="L126" s="34"/>
    </row>
  </sheetData>
  <mergeCells count="480">
    <mergeCell ref="W77:Z77"/>
    <mergeCell ref="Q78:T78"/>
    <mergeCell ref="U78:V78"/>
    <mergeCell ref="W78:Z78"/>
    <mergeCell ref="W79:Z79"/>
    <mergeCell ref="W73:Z73"/>
    <mergeCell ref="W74:Z74"/>
    <mergeCell ref="W75:Z75"/>
    <mergeCell ref="W76:Z76"/>
    <mergeCell ref="G75:J75"/>
    <mergeCell ref="G76:J76"/>
    <mergeCell ref="G77:J77"/>
    <mergeCell ref="G78:J78"/>
    <mergeCell ref="G68:J68"/>
    <mergeCell ref="G69:J69"/>
    <mergeCell ref="G70:J70"/>
    <mergeCell ref="G71:J71"/>
    <mergeCell ref="G72:J72"/>
    <mergeCell ref="G73:J73"/>
    <mergeCell ref="G74:J74"/>
    <mergeCell ref="Q73:T73"/>
    <mergeCell ref="Q74:T74"/>
    <mergeCell ref="U74:V74"/>
    <mergeCell ref="Q75:T75"/>
    <mergeCell ref="U75:V75"/>
    <mergeCell ref="Q76:T76"/>
    <mergeCell ref="U76:V76"/>
    <mergeCell ref="Q77:T77"/>
    <mergeCell ref="U77:V77"/>
    <mergeCell ref="G60:J60"/>
    <mergeCell ref="G61:J61"/>
    <mergeCell ref="G62:J62"/>
    <mergeCell ref="G63:J63"/>
    <mergeCell ref="G64:J64"/>
    <mergeCell ref="G65:J65"/>
    <mergeCell ref="G66:J66"/>
    <mergeCell ref="G67:J67"/>
    <mergeCell ref="U73:V73"/>
    <mergeCell ref="G51:J51"/>
    <mergeCell ref="G52:J52"/>
    <mergeCell ref="G53:J53"/>
    <mergeCell ref="G54:J54"/>
    <mergeCell ref="G55:J55"/>
    <mergeCell ref="G56:J56"/>
    <mergeCell ref="G57:J57"/>
    <mergeCell ref="G58:J58"/>
    <mergeCell ref="G59:J59"/>
    <mergeCell ref="G42:J42"/>
    <mergeCell ref="G43:J43"/>
    <mergeCell ref="G44:J44"/>
    <mergeCell ref="G45:J45"/>
    <mergeCell ref="G46:J46"/>
    <mergeCell ref="G47:J47"/>
    <mergeCell ref="G48:J48"/>
    <mergeCell ref="G49:J49"/>
    <mergeCell ref="G50:J50"/>
    <mergeCell ref="G33:J33"/>
    <mergeCell ref="G34:J34"/>
    <mergeCell ref="G35:J35"/>
    <mergeCell ref="G36:J36"/>
    <mergeCell ref="G37:J37"/>
    <mergeCell ref="G38:J38"/>
    <mergeCell ref="G39:J39"/>
    <mergeCell ref="G40:J40"/>
    <mergeCell ref="G41:J41"/>
    <mergeCell ref="G24:J24"/>
    <mergeCell ref="G25:J25"/>
    <mergeCell ref="G26:J26"/>
    <mergeCell ref="G27:J27"/>
    <mergeCell ref="G28:J28"/>
    <mergeCell ref="G29:J29"/>
    <mergeCell ref="G30:J30"/>
    <mergeCell ref="G31:J31"/>
    <mergeCell ref="G32:J32"/>
    <mergeCell ref="Z23:AA23"/>
    <mergeCell ref="G2:J2"/>
    <mergeCell ref="G3:J3"/>
    <mergeCell ref="G4:J4"/>
    <mergeCell ref="G5:J5"/>
    <mergeCell ref="G6:J6"/>
    <mergeCell ref="G7:J7"/>
    <mergeCell ref="G8:J8"/>
    <mergeCell ref="G12:J12"/>
    <mergeCell ref="G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Q21:T21"/>
    <mergeCell ref="Z21:AA21"/>
    <mergeCell ref="AB21:AE21"/>
    <mergeCell ref="AB22:AE22"/>
    <mergeCell ref="V21:W21"/>
    <mergeCell ref="X21:Y21"/>
    <mergeCell ref="Q22:T22"/>
    <mergeCell ref="V22:W22"/>
    <mergeCell ref="X22:Y22"/>
    <mergeCell ref="Z22:AA22"/>
    <mergeCell ref="G9:J9"/>
    <mergeCell ref="G10:J10"/>
    <mergeCell ref="G11:J11"/>
    <mergeCell ref="V11:W11"/>
    <mergeCell ref="X11:Y11"/>
    <mergeCell ref="Z11:AA11"/>
    <mergeCell ref="AB11:AE11"/>
    <mergeCell ref="V13:W13"/>
    <mergeCell ref="X13:Y13"/>
    <mergeCell ref="Q6:T6"/>
    <mergeCell ref="V6:W6"/>
    <mergeCell ref="X6:Y6"/>
    <mergeCell ref="Z6:AA6"/>
    <mergeCell ref="AB6:AE6"/>
    <mergeCell ref="V1:W1"/>
    <mergeCell ref="V2:W2"/>
    <mergeCell ref="Q3:T3"/>
    <mergeCell ref="V3:W3"/>
    <mergeCell ref="Q4:T4"/>
    <mergeCell ref="V4:W4"/>
    <mergeCell ref="V5:W5"/>
    <mergeCell ref="G1:J1"/>
    <mergeCell ref="Q1:T1"/>
    <mergeCell ref="X1:Y1"/>
    <mergeCell ref="Z1:AA1"/>
    <mergeCell ref="AB1:AE1"/>
    <mergeCell ref="Q2:T2"/>
    <mergeCell ref="AB2:AE2"/>
    <mergeCell ref="X4:Y4"/>
    <mergeCell ref="X5:Y5"/>
    <mergeCell ref="Z5:AA5"/>
    <mergeCell ref="X2:Y2"/>
    <mergeCell ref="Z2:AA2"/>
    <mergeCell ref="X3:Y3"/>
    <mergeCell ref="Z3:AA3"/>
    <mergeCell ref="AB3:AE3"/>
    <mergeCell ref="Z4:AA4"/>
    <mergeCell ref="AB4:AE4"/>
    <mergeCell ref="AB5:AE5"/>
    <mergeCell ref="Q5:T5"/>
    <mergeCell ref="V10:W10"/>
    <mergeCell ref="X10:Y10"/>
    <mergeCell ref="Z10:AA10"/>
    <mergeCell ref="AB10:AE10"/>
    <mergeCell ref="Q8:T8"/>
    <mergeCell ref="Q9:T9"/>
    <mergeCell ref="V9:W9"/>
    <mergeCell ref="X9:Y9"/>
    <mergeCell ref="Z9:AA9"/>
    <mergeCell ref="AB9:AE9"/>
    <mergeCell ref="Q10:T10"/>
    <mergeCell ref="X8:Y8"/>
    <mergeCell ref="Z8:AA8"/>
    <mergeCell ref="Q7:T7"/>
    <mergeCell ref="V7:W7"/>
    <mergeCell ref="X7:Y7"/>
    <mergeCell ref="Z7:AA7"/>
    <mergeCell ref="AB7:AE7"/>
    <mergeCell ref="V8:W8"/>
    <mergeCell ref="AB8:AE8"/>
    <mergeCell ref="W102:Z102"/>
    <mergeCell ref="W103:Z103"/>
    <mergeCell ref="W104:Z104"/>
    <mergeCell ref="W105:Z105"/>
    <mergeCell ref="W106:Z106"/>
    <mergeCell ref="W107:Z107"/>
    <mergeCell ref="W108:Z108"/>
    <mergeCell ref="W94:Z94"/>
    <mergeCell ref="W95:Z95"/>
    <mergeCell ref="W96:Z96"/>
    <mergeCell ref="W97:Z97"/>
    <mergeCell ref="W98:Z98"/>
    <mergeCell ref="W99:Z99"/>
    <mergeCell ref="W100:Z100"/>
    <mergeCell ref="W93:Z93"/>
    <mergeCell ref="U93:V93"/>
    <mergeCell ref="U94:V94"/>
    <mergeCell ref="U95:V95"/>
    <mergeCell ref="U96:V96"/>
    <mergeCell ref="U97:V97"/>
    <mergeCell ref="U98:V98"/>
    <mergeCell ref="U99:V99"/>
    <mergeCell ref="W101:Z101"/>
    <mergeCell ref="U90:V90"/>
    <mergeCell ref="U91:V91"/>
    <mergeCell ref="U92:V92"/>
    <mergeCell ref="W87:Z87"/>
    <mergeCell ref="W88:Z88"/>
    <mergeCell ref="W89:Z89"/>
    <mergeCell ref="W90:Z90"/>
    <mergeCell ref="W91:Z91"/>
    <mergeCell ref="W92:Z92"/>
    <mergeCell ref="U84:V84"/>
    <mergeCell ref="W84:Z84"/>
    <mergeCell ref="U85:V85"/>
    <mergeCell ref="W85:Z85"/>
    <mergeCell ref="W86:Z86"/>
    <mergeCell ref="U86:V86"/>
    <mergeCell ref="U87:V87"/>
    <mergeCell ref="U88:V88"/>
    <mergeCell ref="U89:V89"/>
    <mergeCell ref="U79:V79"/>
    <mergeCell ref="U80:V80"/>
    <mergeCell ref="W80:Z80"/>
    <mergeCell ref="U81:V81"/>
    <mergeCell ref="W81:Z81"/>
    <mergeCell ref="U82:V82"/>
    <mergeCell ref="W82:Z82"/>
    <mergeCell ref="U83:V83"/>
    <mergeCell ref="W83:Z83"/>
    <mergeCell ref="U107:V107"/>
    <mergeCell ref="U108:V108"/>
    <mergeCell ref="U100:V100"/>
    <mergeCell ref="U101:V101"/>
    <mergeCell ref="U102:V102"/>
    <mergeCell ref="U103:V103"/>
    <mergeCell ref="U104:V104"/>
    <mergeCell ref="U105:V105"/>
    <mergeCell ref="U106:V106"/>
    <mergeCell ref="U65:V65"/>
    <mergeCell ref="W65:Z65"/>
    <mergeCell ref="U66:V66"/>
    <mergeCell ref="W66:Z66"/>
    <mergeCell ref="W67:Z67"/>
    <mergeCell ref="W68:Z68"/>
    <mergeCell ref="W69:Z69"/>
    <mergeCell ref="Q59:T59"/>
    <mergeCell ref="Q60:T60"/>
    <mergeCell ref="Q61:T61"/>
    <mergeCell ref="Q62:T62"/>
    <mergeCell ref="Q63:T63"/>
    <mergeCell ref="Q64:T64"/>
    <mergeCell ref="Q65:T65"/>
    <mergeCell ref="Q66:T66"/>
    <mergeCell ref="Q67:T67"/>
    <mergeCell ref="U67:V67"/>
    <mergeCell ref="Q68:T68"/>
    <mergeCell ref="U68:V68"/>
    <mergeCell ref="Q69:T69"/>
    <mergeCell ref="U69:V69"/>
    <mergeCell ref="Q57:T57"/>
    <mergeCell ref="X59:Y59"/>
    <mergeCell ref="Z59:AA59"/>
    <mergeCell ref="Q58:T58"/>
    <mergeCell ref="V58:W58"/>
    <mergeCell ref="X58:Y58"/>
    <mergeCell ref="Z58:AA58"/>
    <mergeCell ref="AB58:AE58"/>
    <mergeCell ref="V59:W59"/>
    <mergeCell ref="AB59:AE59"/>
    <mergeCell ref="AB53:AE53"/>
    <mergeCell ref="AB54:AE54"/>
    <mergeCell ref="V57:W57"/>
    <mergeCell ref="X57:Y57"/>
    <mergeCell ref="Z57:AA57"/>
    <mergeCell ref="AB57:AE57"/>
    <mergeCell ref="U72:V72"/>
    <mergeCell ref="W72:Z72"/>
    <mergeCell ref="Q70:T70"/>
    <mergeCell ref="U70:V70"/>
    <mergeCell ref="W70:Z70"/>
    <mergeCell ref="Q71:T71"/>
    <mergeCell ref="U71:V71"/>
    <mergeCell ref="W71:Z71"/>
    <mergeCell ref="Q72:T72"/>
    <mergeCell ref="V55:W55"/>
    <mergeCell ref="X55:Y55"/>
    <mergeCell ref="AB55:AE55"/>
    <mergeCell ref="Q55:T55"/>
    <mergeCell ref="Q56:T56"/>
    <mergeCell ref="V56:W56"/>
    <mergeCell ref="X56:Y56"/>
    <mergeCell ref="Z56:AA56"/>
    <mergeCell ref="AB56:AE56"/>
    <mergeCell ref="Q53:T53"/>
    <mergeCell ref="V53:W53"/>
    <mergeCell ref="X53:Y53"/>
    <mergeCell ref="Q54:T54"/>
    <mergeCell ref="V54:W54"/>
    <mergeCell ref="X54:Y54"/>
    <mergeCell ref="Z54:AA54"/>
    <mergeCell ref="Z55:AA55"/>
    <mergeCell ref="V47:W47"/>
    <mergeCell ref="X47:Y47"/>
    <mergeCell ref="Q47:T47"/>
    <mergeCell ref="Q48:T48"/>
    <mergeCell ref="V48:W48"/>
    <mergeCell ref="X48:Y48"/>
    <mergeCell ref="Z48:AA48"/>
    <mergeCell ref="Q49:T49"/>
    <mergeCell ref="X51:Y51"/>
    <mergeCell ref="Z51:AA51"/>
    <mergeCell ref="Q50:T50"/>
    <mergeCell ref="V50:W50"/>
    <mergeCell ref="X50:Y50"/>
    <mergeCell ref="Z50:AA50"/>
    <mergeCell ref="V51:W51"/>
    <mergeCell ref="Z53:AA53"/>
    <mergeCell ref="AB45:AE45"/>
    <mergeCell ref="AB46:AE46"/>
    <mergeCell ref="V49:W49"/>
    <mergeCell ref="X49:Y49"/>
    <mergeCell ref="Z49:AA49"/>
    <mergeCell ref="AB49:AE49"/>
    <mergeCell ref="Q51:T51"/>
    <mergeCell ref="Q52:T52"/>
    <mergeCell ref="V52:W52"/>
    <mergeCell ref="X52:Y52"/>
    <mergeCell ref="Z52:AA52"/>
    <mergeCell ref="AB52:AE52"/>
    <mergeCell ref="AB47:AE47"/>
    <mergeCell ref="AB48:AE48"/>
    <mergeCell ref="AB50:AE50"/>
    <mergeCell ref="AB51:AE51"/>
    <mergeCell ref="Q45:T45"/>
    <mergeCell ref="V45:W45"/>
    <mergeCell ref="X45:Y45"/>
    <mergeCell ref="Q46:T46"/>
    <mergeCell ref="V46:W46"/>
    <mergeCell ref="X46:Y46"/>
    <mergeCell ref="Z46:AA46"/>
    <mergeCell ref="Z47:AA47"/>
    <mergeCell ref="V39:W39"/>
    <mergeCell ref="X39:Y39"/>
    <mergeCell ref="Q39:T39"/>
    <mergeCell ref="Q40:T40"/>
    <mergeCell ref="V40:W40"/>
    <mergeCell ref="X40:Y40"/>
    <mergeCell ref="Z40:AA40"/>
    <mergeCell ref="Q41:T41"/>
    <mergeCell ref="X43:Y43"/>
    <mergeCell ref="Z43:AA43"/>
    <mergeCell ref="Q42:T42"/>
    <mergeCell ref="V42:W42"/>
    <mergeCell ref="X42:Y42"/>
    <mergeCell ref="Z42:AA42"/>
    <mergeCell ref="V43:W43"/>
    <mergeCell ref="Z45:AA45"/>
    <mergeCell ref="AB37:AE37"/>
    <mergeCell ref="AB38:AE38"/>
    <mergeCell ref="V41:W41"/>
    <mergeCell ref="X41:Y41"/>
    <mergeCell ref="Z41:AA41"/>
    <mergeCell ref="AB41:AE41"/>
    <mergeCell ref="Q43:T43"/>
    <mergeCell ref="Q44:T44"/>
    <mergeCell ref="V44:W44"/>
    <mergeCell ref="X44:Y44"/>
    <mergeCell ref="Z44:AA44"/>
    <mergeCell ref="AB44:AE44"/>
    <mergeCell ref="AB39:AE39"/>
    <mergeCell ref="AB40:AE40"/>
    <mergeCell ref="AB42:AE42"/>
    <mergeCell ref="AB43:AE43"/>
    <mergeCell ref="Q37:T37"/>
    <mergeCell ref="V37:W37"/>
    <mergeCell ref="X37:Y37"/>
    <mergeCell ref="Q38:T38"/>
    <mergeCell ref="V38:W38"/>
    <mergeCell ref="X38:Y38"/>
    <mergeCell ref="Z38:AA38"/>
    <mergeCell ref="Z39:AA39"/>
    <mergeCell ref="V31:W31"/>
    <mergeCell ref="X31:Y31"/>
    <mergeCell ref="Q31:T31"/>
    <mergeCell ref="Q32:T32"/>
    <mergeCell ref="V32:W32"/>
    <mergeCell ref="X32:Y32"/>
    <mergeCell ref="Z32:AA32"/>
    <mergeCell ref="Q33:T33"/>
    <mergeCell ref="X35:Y35"/>
    <mergeCell ref="Z35:AA35"/>
    <mergeCell ref="Q34:T34"/>
    <mergeCell ref="V34:W34"/>
    <mergeCell ref="X34:Y34"/>
    <mergeCell ref="Z34:AA34"/>
    <mergeCell ref="V35:W35"/>
    <mergeCell ref="Z37:AA37"/>
    <mergeCell ref="AB29:AE29"/>
    <mergeCell ref="AB30:AE30"/>
    <mergeCell ref="V33:W33"/>
    <mergeCell ref="X33:Y33"/>
    <mergeCell ref="Z33:AA33"/>
    <mergeCell ref="AB33:AE33"/>
    <mergeCell ref="Q35:T35"/>
    <mergeCell ref="Q36:T36"/>
    <mergeCell ref="V36:W36"/>
    <mergeCell ref="X36:Y36"/>
    <mergeCell ref="Z36:AA36"/>
    <mergeCell ref="AB36:AE36"/>
    <mergeCell ref="AB31:AE31"/>
    <mergeCell ref="AB32:AE32"/>
    <mergeCell ref="AB34:AE34"/>
    <mergeCell ref="AB35:AE35"/>
    <mergeCell ref="Q29:T29"/>
    <mergeCell ref="V29:W29"/>
    <mergeCell ref="X29:Y29"/>
    <mergeCell ref="Q30:T30"/>
    <mergeCell ref="V30:W30"/>
    <mergeCell ref="X30:Y30"/>
    <mergeCell ref="Z30:AA30"/>
    <mergeCell ref="Z31:AA31"/>
    <mergeCell ref="V23:W23"/>
    <mergeCell ref="X23:Y23"/>
    <mergeCell ref="Q23:T23"/>
    <mergeCell ref="Q24:T24"/>
    <mergeCell ref="V24:W24"/>
    <mergeCell ref="X24:Y24"/>
    <mergeCell ref="Z24:AA24"/>
    <mergeCell ref="Q25:T25"/>
    <mergeCell ref="X27:Y27"/>
    <mergeCell ref="Z27:AA27"/>
    <mergeCell ref="Q26:T26"/>
    <mergeCell ref="V26:W26"/>
    <mergeCell ref="X26:Y26"/>
    <mergeCell ref="Z26:AA26"/>
    <mergeCell ref="V27:W27"/>
    <mergeCell ref="Z29:AA29"/>
    <mergeCell ref="AB18:AE18"/>
    <mergeCell ref="V25:W25"/>
    <mergeCell ref="X25:Y25"/>
    <mergeCell ref="Z25:AA25"/>
    <mergeCell ref="AB25:AE25"/>
    <mergeCell ref="Q27:T27"/>
    <mergeCell ref="Q28:T28"/>
    <mergeCell ref="V28:W28"/>
    <mergeCell ref="X28:Y28"/>
    <mergeCell ref="Z28:AA28"/>
    <mergeCell ref="AB28:AE28"/>
    <mergeCell ref="AB23:AE23"/>
    <mergeCell ref="AB24:AE24"/>
    <mergeCell ref="AB26:AE26"/>
    <mergeCell ref="AB27:AE27"/>
    <mergeCell ref="V19:W19"/>
    <mergeCell ref="X19:Y19"/>
    <mergeCell ref="AB19:AE19"/>
    <mergeCell ref="Q19:T19"/>
    <mergeCell ref="Q20:T20"/>
    <mergeCell ref="V20:W20"/>
    <mergeCell ref="X20:Y20"/>
    <mergeCell ref="Z20:AA20"/>
    <mergeCell ref="AB20:AE20"/>
    <mergeCell ref="Q18:T18"/>
    <mergeCell ref="V18:W18"/>
    <mergeCell ref="X18:Y18"/>
    <mergeCell ref="Z18:AA18"/>
    <mergeCell ref="Z19:AA19"/>
    <mergeCell ref="Z13:AA13"/>
    <mergeCell ref="AB13:AE13"/>
    <mergeCell ref="Q11:T11"/>
    <mergeCell ref="Q12:T12"/>
    <mergeCell ref="V12:W12"/>
    <mergeCell ref="X12:Y12"/>
    <mergeCell ref="Z12:AA12"/>
    <mergeCell ref="AB12:AE12"/>
    <mergeCell ref="Q13:T13"/>
    <mergeCell ref="X15:Y15"/>
    <mergeCell ref="Z15:AA15"/>
    <mergeCell ref="Q14:T14"/>
    <mergeCell ref="V14:W14"/>
    <mergeCell ref="X14:Y14"/>
    <mergeCell ref="Z14:AA14"/>
    <mergeCell ref="AB14:AE14"/>
    <mergeCell ref="V15:W15"/>
    <mergeCell ref="AB15:AE15"/>
    <mergeCell ref="Z17:AA17"/>
    <mergeCell ref="Q15:T15"/>
    <mergeCell ref="Q16:T16"/>
    <mergeCell ref="V16:W16"/>
    <mergeCell ref="X16:Y16"/>
    <mergeCell ref="Z16:AA16"/>
    <mergeCell ref="AB16:AE16"/>
    <mergeCell ref="Q17:T17"/>
    <mergeCell ref="V17:W17"/>
    <mergeCell ref="X17:Y17"/>
    <mergeCell ref="AB17:AE17"/>
  </mergeCells>
  <phoneticPr fontId="23" type="noConversion"/>
  <conditionalFormatting sqref="B6">
    <cfRule type="notContainsBlanks" dxfId="0" priority="1">
      <formula>LEN(TRIM(B6))&gt;0</formula>
    </cfRule>
  </conditionalFormatting>
  <dataValidations count="1">
    <dataValidation type="list" allowBlank="1" showErrorMessage="1" sqref="B2:B78" xr:uid="{00000000-0002-0000-0900-000000000000}">
      <formula1>"TR#13,TR#14,TR#15,TR#16,TR#17,TR#18,TR#19,TR#20,TR#21,TR#22,TR#23,TR#24,TR#25"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10"/>
  <sheetViews>
    <sheetView workbookViewId="0"/>
  </sheetViews>
  <sheetFormatPr defaultColWidth="12.6328125" defaultRowHeight="15.75" customHeight="1"/>
  <sheetData>
    <row r="1" spans="1:4">
      <c r="A1" s="78" t="s">
        <v>110</v>
      </c>
      <c r="B1" s="16" t="s">
        <v>90</v>
      </c>
      <c r="C1" s="16" t="s">
        <v>58</v>
      </c>
      <c r="D1" s="16" t="s">
        <v>59</v>
      </c>
    </row>
    <row r="2" spans="1:4" ht="15.75" customHeight="1">
      <c r="A2" s="94" t="s">
        <v>19</v>
      </c>
      <c r="B2" s="52">
        <v>0.41875000000000001</v>
      </c>
      <c r="C2" s="16">
        <v>24.891856979158746</v>
      </c>
      <c r="D2" s="16">
        <v>121.56703712609976</v>
      </c>
    </row>
    <row r="3" spans="1:4" ht="15.75" customHeight="1">
      <c r="A3" s="53" t="s">
        <v>19</v>
      </c>
      <c r="B3" s="52">
        <v>0.67013888888888884</v>
      </c>
      <c r="C3" s="16">
        <v>24.891889328979094</v>
      </c>
      <c r="D3" s="16">
        <v>121.56705800661419</v>
      </c>
    </row>
    <row r="4" spans="1:4" ht="15.75" customHeight="1">
      <c r="A4" s="53" t="s">
        <v>26</v>
      </c>
      <c r="B4" s="52">
        <v>0.34444444444444444</v>
      </c>
      <c r="C4" s="16">
        <v>24.891979543415388</v>
      </c>
      <c r="D4" s="16">
        <v>121.56681283602013</v>
      </c>
    </row>
    <row r="5" spans="1:4" ht="15.75" customHeight="1">
      <c r="A5" s="51" t="s">
        <v>30</v>
      </c>
      <c r="B5" s="52">
        <v>0.3611111111111111</v>
      </c>
      <c r="C5" s="16">
        <v>24.891935958432406</v>
      </c>
      <c r="D5" s="16">
        <v>121.56695032939341</v>
      </c>
    </row>
    <row r="6" spans="1:4" ht="15.75" customHeight="1">
      <c r="A6" s="51" t="s">
        <v>30</v>
      </c>
      <c r="B6" s="52">
        <v>0.69444444444444442</v>
      </c>
      <c r="C6" s="16">
        <v>24.891960769451831</v>
      </c>
      <c r="D6" s="16">
        <v>121.56694530446893</v>
      </c>
    </row>
    <row r="7" spans="1:4" ht="15.75" customHeight="1">
      <c r="A7" s="51" t="s">
        <v>37</v>
      </c>
      <c r="B7" s="52">
        <v>0.44444444444444442</v>
      </c>
      <c r="C7" s="16">
        <v>24.891832794465863</v>
      </c>
      <c r="D7" s="16">
        <v>121.56708015956927</v>
      </c>
    </row>
    <row r="8" spans="1:4" ht="15.75" customHeight="1">
      <c r="A8" s="51" t="s">
        <v>37</v>
      </c>
      <c r="B8" s="52">
        <v>0.68055555555555558</v>
      </c>
      <c r="C8" s="16">
        <v>24.891896429960198</v>
      </c>
      <c r="D8" s="16">
        <v>121.56703686783827</v>
      </c>
    </row>
    <row r="9" spans="1:4" ht="15.75" customHeight="1">
      <c r="A9" s="51" t="s">
        <v>48</v>
      </c>
      <c r="B9" s="52">
        <v>0.65694444444444444</v>
      </c>
      <c r="C9" s="16">
        <v>24.891854836240551</v>
      </c>
      <c r="D9" s="16">
        <v>121.56714949048282</v>
      </c>
    </row>
    <row r="10" spans="1:4" ht="15.75" customHeight="1">
      <c r="A10" s="72" t="s">
        <v>48</v>
      </c>
      <c r="B10" s="73">
        <v>0.70416666666666672</v>
      </c>
      <c r="C10" s="16">
        <v>24.891937476698679</v>
      </c>
      <c r="D10" s="16">
        <v>121.56701480971194</v>
      </c>
    </row>
  </sheetData>
  <phoneticPr fontId="23" type="noConversion"/>
  <dataValidations count="1">
    <dataValidation type="list" allowBlank="1" showErrorMessage="1" sqref="A2:A10" xr:uid="{00000000-0002-0000-0A00-000000000000}">
      <formula1>"TR#13,TR#14,TR#15,TR#16,TR#17,TR#18,TR#19,TR#20,TR#21,TR#22,TR#23,TR#24,TR#25"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84"/>
  <sheetViews>
    <sheetView workbookViewId="0"/>
  </sheetViews>
  <sheetFormatPr defaultColWidth="12.6328125" defaultRowHeight="15.75" customHeight="1"/>
  <sheetData>
    <row r="1" spans="1:5">
      <c r="A1" s="78" t="s">
        <v>110</v>
      </c>
      <c r="B1" s="16" t="s">
        <v>90</v>
      </c>
      <c r="C1" s="16" t="s">
        <v>58</v>
      </c>
      <c r="D1" s="16" t="s">
        <v>59</v>
      </c>
      <c r="E1" s="16" t="s">
        <v>232</v>
      </c>
    </row>
    <row r="2" spans="1:5" ht="15.75" customHeight="1">
      <c r="A2" s="60" t="s">
        <v>33</v>
      </c>
      <c r="B2" s="95">
        <v>0.89583333333333337</v>
      </c>
      <c r="C2" s="16">
        <v>24.891856375656335</v>
      </c>
      <c r="D2" s="16">
        <v>121.56701025393826</v>
      </c>
      <c r="E2" s="16" t="s">
        <v>233</v>
      </c>
    </row>
    <row r="3" spans="1:5" ht="15.75" customHeight="1">
      <c r="A3" s="60" t="s">
        <v>33</v>
      </c>
      <c r="B3" s="73">
        <v>0.70694444444444449</v>
      </c>
      <c r="C3" s="16">
        <v>24.891882012919652</v>
      </c>
      <c r="D3" s="16">
        <v>121.56693115510365</v>
      </c>
      <c r="E3" s="16" t="s">
        <v>233</v>
      </c>
    </row>
    <row r="4" spans="1:5" ht="15.75" customHeight="1">
      <c r="A4" s="96" t="s">
        <v>33</v>
      </c>
      <c r="B4" s="52">
        <v>0.69861111111111107</v>
      </c>
      <c r="C4" s="16">
        <v>24.891868007787505</v>
      </c>
      <c r="D4" s="16">
        <v>121.56700131382965</v>
      </c>
      <c r="E4" s="16" t="s">
        <v>233</v>
      </c>
    </row>
    <row r="5" spans="1:5" ht="15.75" customHeight="1">
      <c r="A5" s="97" t="s">
        <v>33</v>
      </c>
      <c r="B5" s="73">
        <v>0.68958333333333333</v>
      </c>
      <c r="C5" s="16">
        <v>24.891897911833912</v>
      </c>
      <c r="D5" s="16">
        <v>121.56694674074386</v>
      </c>
      <c r="E5" s="16" t="s">
        <v>233</v>
      </c>
    </row>
    <row r="6" spans="1:5" ht="15.75" customHeight="1">
      <c r="A6" s="60" t="s">
        <v>33</v>
      </c>
      <c r="B6" s="95">
        <v>0.6875</v>
      </c>
      <c r="C6" s="16">
        <v>24.891855651409369</v>
      </c>
      <c r="D6" s="16">
        <v>121.56695841297187</v>
      </c>
      <c r="E6" s="16" t="s">
        <v>233</v>
      </c>
    </row>
    <row r="7" spans="1:5" ht="15.75" customHeight="1">
      <c r="A7" s="60" t="s">
        <v>33</v>
      </c>
      <c r="B7" s="52">
        <v>0.64652777777777781</v>
      </c>
      <c r="C7" s="16">
        <v>24.891856251184947</v>
      </c>
      <c r="D7" s="16">
        <v>121.56700254901992</v>
      </c>
      <c r="E7" s="16" t="s">
        <v>233</v>
      </c>
    </row>
    <row r="8" spans="1:5" ht="15.75" customHeight="1">
      <c r="A8" s="60" t="s">
        <v>33</v>
      </c>
      <c r="B8" s="52">
        <v>0.625</v>
      </c>
      <c r="C8" s="16">
        <v>24.891907859464503</v>
      </c>
      <c r="D8" s="16">
        <v>121.56694357503513</v>
      </c>
      <c r="E8" s="16" t="s">
        <v>233</v>
      </c>
    </row>
    <row r="9" spans="1:5" ht="15.75" customHeight="1">
      <c r="A9" s="96" t="s">
        <v>33</v>
      </c>
      <c r="B9" s="98">
        <v>0.52638888888888891</v>
      </c>
      <c r="C9" s="16">
        <v>24.891868102901352</v>
      </c>
      <c r="D9" s="16">
        <v>121.5670014251873</v>
      </c>
      <c r="E9" s="16" t="s">
        <v>234</v>
      </c>
    </row>
    <row r="10" spans="1:5" ht="15.75" customHeight="1">
      <c r="A10" s="96" t="s">
        <v>33</v>
      </c>
      <c r="B10" s="99">
        <v>0.5180555555555556</v>
      </c>
      <c r="C10" s="16">
        <v>24.891878548885106</v>
      </c>
      <c r="D10" s="16">
        <v>121.56695616916151</v>
      </c>
      <c r="E10" s="16" t="s">
        <v>234</v>
      </c>
    </row>
    <row r="11" spans="1:5" ht="15.75" customHeight="1">
      <c r="A11" s="96" t="s">
        <v>33</v>
      </c>
      <c r="B11" s="99">
        <v>0.51736111111111116</v>
      </c>
      <c r="C11" s="16">
        <v>24.891908668945042</v>
      </c>
      <c r="D11" s="16">
        <v>121.56693701656837</v>
      </c>
      <c r="E11" s="16" t="s">
        <v>234</v>
      </c>
    </row>
    <row r="12" spans="1:5" ht="15.75" customHeight="1">
      <c r="A12" s="97" t="s">
        <v>33</v>
      </c>
      <c r="B12" s="73">
        <v>0.46527777777777779</v>
      </c>
      <c r="C12" s="16">
        <v>24.891911917947535</v>
      </c>
      <c r="D12" s="16">
        <v>121.56698568446548</v>
      </c>
      <c r="E12" s="16" t="s">
        <v>233</v>
      </c>
    </row>
    <row r="13" spans="1:5" ht="15.75" customHeight="1">
      <c r="A13" s="96" t="s">
        <v>33</v>
      </c>
      <c r="B13" s="52">
        <v>0.45347222222222222</v>
      </c>
      <c r="C13" s="16">
        <v>24.891883568627332</v>
      </c>
      <c r="D13" s="16">
        <v>121.56698537672729</v>
      </c>
      <c r="E13" s="16" t="s">
        <v>233</v>
      </c>
    </row>
    <row r="14" spans="1:5" ht="15.75" customHeight="1">
      <c r="A14" s="60" t="s">
        <v>33</v>
      </c>
      <c r="B14" s="52">
        <v>0.42499999999999999</v>
      </c>
      <c r="C14" s="16">
        <v>24.891874000758346</v>
      </c>
      <c r="D14" s="16">
        <v>121.5669965557599</v>
      </c>
      <c r="E14" s="16" t="s">
        <v>233</v>
      </c>
    </row>
    <row r="15" spans="1:5" ht="15.75" customHeight="1">
      <c r="A15" s="96" t="s">
        <v>33</v>
      </c>
      <c r="B15" s="66">
        <v>0.31111111111111112</v>
      </c>
      <c r="C15" s="16">
        <v>24.891903817630197</v>
      </c>
      <c r="D15" s="16">
        <v>121.56694411677732</v>
      </c>
      <c r="E15" s="16" t="s">
        <v>233</v>
      </c>
    </row>
    <row r="16" spans="1:5" ht="15.75" customHeight="1">
      <c r="A16" s="60" t="s">
        <v>33</v>
      </c>
      <c r="B16" s="95">
        <v>0.29444444444444445</v>
      </c>
      <c r="C16" s="16">
        <v>24.891856354966794</v>
      </c>
      <c r="D16" s="16">
        <v>121.56695471593849</v>
      </c>
      <c r="E16" s="16" t="s">
        <v>233</v>
      </c>
    </row>
    <row r="17" spans="1:5" ht="15.75" customHeight="1">
      <c r="A17" s="96" t="s">
        <v>33</v>
      </c>
      <c r="B17" s="52">
        <v>0.25555555555555554</v>
      </c>
      <c r="C17" s="16">
        <v>24.891867245142205</v>
      </c>
      <c r="D17" s="16">
        <v>121.56700270974497</v>
      </c>
      <c r="E17" s="16" t="s">
        <v>233</v>
      </c>
    </row>
    <row r="18" spans="1:5" ht="14">
      <c r="A18" s="96" t="s">
        <v>33</v>
      </c>
      <c r="B18" s="99">
        <v>0.18194444444444444</v>
      </c>
      <c r="C18" s="16">
        <v>24.891868007787505</v>
      </c>
      <c r="D18" s="16">
        <v>121.56700131382965</v>
      </c>
      <c r="E18" s="16" t="s">
        <v>234</v>
      </c>
    </row>
    <row r="19" spans="1:5" ht="14">
      <c r="A19" s="97" t="s">
        <v>33</v>
      </c>
      <c r="B19" s="100">
        <v>0.17708333333333334</v>
      </c>
      <c r="C19" s="16">
        <v>24.891904144190089</v>
      </c>
      <c r="D19" s="16">
        <v>121.56694729327744</v>
      </c>
      <c r="E19" s="16" t="s">
        <v>234</v>
      </c>
    </row>
    <row r="20" spans="1:5" ht="12.5">
      <c r="A20" s="60" t="s">
        <v>33</v>
      </c>
      <c r="B20" s="98">
        <v>0.1388888888888889</v>
      </c>
      <c r="C20" s="16">
        <v>24.891849177078843</v>
      </c>
      <c r="D20" s="16">
        <v>121.56695129660255</v>
      </c>
      <c r="E20" s="16" t="s">
        <v>234</v>
      </c>
    </row>
    <row r="21" spans="1:5" ht="12.5">
      <c r="A21" s="60" t="s">
        <v>33</v>
      </c>
      <c r="B21" s="101">
        <v>0.1388888888888889</v>
      </c>
      <c r="C21" s="16">
        <v>24.89188475032477</v>
      </c>
      <c r="D21" s="16">
        <v>121.56693155695912</v>
      </c>
      <c r="E21" s="16" t="s">
        <v>234</v>
      </c>
    </row>
    <row r="22" spans="1:5" ht="12.5">
      <c r="A22" s="34"/>
      <c r="B22" s="34"/>
      <c r="C22" s="34"/>
    </row>
    <row r="23" spans="1:5" ht="12.5">
      <c r="A23" s="34"/>
      <c r="B23" s="34"/>
      <c r="C23" s="34"/>
    </row>
    <row r="24" spans="1:5" ht="12.5">
      <c r="A24" s="34"/>
      <c r="B24" s="34"/>
      <c r="C24" s="34"/>
    </row>
    <row r="25" spans="1:5" ht="12.5">
      <c r="A25" s="34"/>
      <c r="B25" s="34"/>
      <c r="C25" s="34"/>
    </row>
    <row r="26" spans="1:5" ht="12.5">
      <c r="A26" s="34"/>
      <c r="B26" s="34"/>
      <c r="C26" s="34"/>
    </row>
    <row r="27" spans="1:5" ht="12.5">
      <c r="A27" s="34"/>
      <c r="B27" s="34"/>
      <c r="C27" s="34"/>
    </row>
    <row r="28" spans="1:5" ht="12.5">
      <c r="A28" s="34"/>
      <c r="B28" s="34"/>
      <c r="C28" s="34"/>
    </row>
    <row r="29" spans="1:5" ht="12.5">
      <c r="A29" s="34"/>
      <c r="B29" s="34"/>
      <c r="C29" s="34"/>
    </row>
    <row r="30" spans="1:5" ht="12.5">
      <c r="A30" s="34"/>
      <c r="B30" s="34"/>
      <c r="C30" s="34"/>
    </row>
    <row r="31" spans="1:5" ht="12.5">
      <c r="A31" s="34"/>
      <c r="B31" s="34"/>
      <c r="C31" s="34"/>
    </row>
    <row r="32" spans="1:5" ht="12.5">
      <c r="A32" s="34"/>
      <c r="B32" s="34"/>
      <c r="C32" s="34"/>
    </row>
    <row r="33" spans="1:3" ht="12.5">
      <c r="A33" s="34"/>
      <c r="B33" s="34"/>
      <c r="C33" s="34"/>
    </row>
    <row r="34" spans="1:3" ht="12.5">
      <c r="A34" s="34"/>
      <c r="B34" s="34"/>
      <c r="C34" s="34"/>
    </row>
    <row r="35" spans="1:3" ht="12.5">
      <c r="A35" s="34"/>
      <c r="B35" s="34"/>
      <c r="C35" s="34"/>
    </row>
    <row r="36" spans="1:3" ht="12.5">
      <c r="A36" s="34"/>
      <c r="B36" s="34"/>
      <c r="C36" s="34"/>
    </row>
    <row r="37" spans="1:3" ht="12.5">
      <c r="A37" s="34"/>
      <c r="B37" s="34"/>
      <c r="C37" s="34"/>
    </row>
    <row r="38" spans="1:3" ht="12.5">
      <c r="A38" s="34"/>
      <c r="B38" s="34"/>
      <c r="C38" s="34"/>
    </row>
    <row r="39" spans="1:3" ht="12.5">
      <c r="A39" s="34"/>
      <c r="B39" s="34"/>
      <c r="C39" s="34"/>
    </row>
    <row r="40" spans="1:3" ht="12.5">
      <c r="A40" s="34"/>
      <c r="B40" s="34"/>
      <c r="C40" s="34"/>
    </row>
    <row r="41" spans="1:3" ht="12.5">
      <c r="A41" s="34"/>
      <c r="B41" s="34"/>
      <c r="C41" s="34"/>
    </row>
    <row r="42" spans="1:3" ht="12.5">
      <c r="A42" s="34"/>
      <c r="B42" s="34"/>
      <c r="C42" s="34"/>
    </row>
    <row r="43" spans="1:3" ht="12.5">
      <c r="A43" s="34"/>
      <c r="B43" s="34"/>
      <c r="C43" s="34"/>
    </row>
    <row r="44" spans="1:3" ht="12.5">
      <c r="A44" s="34"/>
      <c r="B44" s="34"/>
      <c r="C44" s="34"/>
    </row>
    <row r="45" spans="1:3" ht="12.5">
      <c r="A45" s="34"/>
      <c r="B45" s="34"/>
      <c r="C45" s="34"/>
    </row>
    <row r="46" spans="1:3" ht="12.5">
      <c r="A46" s="34"/>
      <c r="B46" s="34"/>
      <c r="C46" s="34"/>
    </row>
    <row r="47" spans="1:3" ht="12.5">
      <c r="A47" s="34"/>
      <c r="B47" s="34"/>
      <c r="C47" s="34"/>
    </row>
    <row r="48" spans="1:3" ht="12.5">
      <c r="A48" s="34"/>
      <c r="B48" s="34"/>
      <c r="C48" s="34"/>
    </row>
    <row r="49" spans="1:3" ht="12.5">
      <c r="A49" s="34"/>
      <c r="B49" s="34"/>
      <c r="C49" s="34"/>
    </row>
    <row r="50" spans="1:3" ht="12.5">
      <c r="A50" s="34"/>
      <c r="B50" s="34"/>
      <c r="C50" s="34"/>
    </row>
    <row r="51" spans="1:3" ht="12.5">
      <c r="A51" s="34"/>
      <c r="B51" s="34"/>
      <c r="C51" s="34"/>
    </row>
    <row r="52" spans="1:3" ht="12.5">
      <c r="A52" s="34"/>
      <c r="B52" s="34"/>
      <c r="C52" s="34"/>
    </row>
    <row r="53" spans="1:3" ht="12.5">
      <c r="A53" s="34"/>
      <c r="B53" s="34"/>
      <c r="C53" s="34"/>
    </row>
    <row r="54" spans="1:3" ht="12.5">
      <c r="A54" s="34"/>
      <c r="B54" s="34"/>
      <c r="C54" s="34"/>
    </row>
    <row r="55" spans="1:3" ht="12.5">
      <c r="A55" s="34"/>
      <c r="B55" s="34"/>
      <c r="C55" s="34"/>
    </row>
    <row r="56" spans="1:3" ht="12.5">
      <c r="A56" s="34"/>
      <c r="B56" s="34"/>
      <c r="C56" s="34"/>
    </row>
    <row r="57" spans="1:3" ht="12.5">
      <c r="A57" s="34"/>
      <c r="B57" s="34"/>
      <c r="C57" s="34"/>
    </row>
    <row r="58" spans="1:3" ht="12.5">
      <c r="A58" s="34"/>
      <c r="B58" s="34"/>
      <c r="C58" s="34"/>
    </row>
    <row r="59" spans="1:3" ht="12.5">
      <c r="A59" s="34"/>
      <c r="B59" s="34"/>
      <c r="C59" s="34"/>
    </row>
    <row r="60" spans="1:3" ht="12.5">
      <c r="A60" s="34"/>
      <c r="B60" s="34"/>
      <c r="C60" s="34"/>
    </row>
    <row r="61" spans="1:3" ht="12.5">
      <c r="A61" s="34"/>
      <c r="B61" s="34"/>
      <c r="C61" s="34"/>
    </row>
    <row r="62" spans="1:3" ht="12.5">
      <c r="A62" s="34"/>
      <c r="B62" s="34"/>
      <c r="C62" s="34"/>
    </row>
    <row r="63" spans="1:3" ht="12.5">
      <c r="A63" s="34"/>
      <c r="B63" s="34"/>
      <c r="C63" s="34"/>
    </row>
    <row r="64" spans="1:3" ht="12.5">
      <c r="A64" s="34"/>
      <c r="B64" s="34"/>
      <c r="C64" s="34"/>
    </row>
    <row r="65" spans="1:3" ht="12.5">
      <c r="A65" s="34"/>
      <c r="B65" s="34"/>
      <c r="C65" s="34"/>
    </row>
    <row r="66" spans="1:3" ht="12.5">
      <c r="A66" s="34"/>
      <c r="B66" s="34"/>
      <c r="C66" s="34"/>
    </row>
    <row r="67" spans="1:3" ht="12.5">
      <c r="A67" s="34"/>
      <c r="B67" s="34"/>
      <c r="C67" s="34"/>
    </row>
    <row r="68" spans="1:3" ht="12.5">
      <c r="A68" s="34"/>
      <c r="B68" s="34"/>
      <c r="C68" s="34"/>
    </row>
    <row r="69" spans="1:3" ht="12.5">
      <c r="A69" s="34"/>
      <c r="B69" s="34"/>
      <c r="C69" s="34"/>
    </row>
    <row r="70" spans="1:3" ht="12.5">
      <c r="A70" s="34"/>
      <c r="B70" s="34"/>
      <c r="C70" s="34"/>
    </row>
    <row r="71" spans="1:3" ht="12.5">
      <c r="A71" s="34"/>
    </row>
    <row r="72" spans="1:3" ht="12.5">
      <c r="A72" s="34"/>
    </row>
    <row r="73" spans="1:3" ht="12.5">
      <c r="A73" s="34"/>
    </row>
    <row r="74" spans="1:3" ht="12.5">
      <c r="A74" s="34"/>
    </row>
    <row r="75" spans="1:3" ht="12.5">
      <c r="A75" s="34"/>
    </row>
    <row r="76" spans="1:3" ht="12.5">
      <c r="A76" s="34"/>
    </row>
    <row r="77" spans="1:3" ht="12.5">
      <c r="A77" s="34"/>
    </row>
    <row r="78" spans="1:3" ht="12.5">
      <c r="A78" s="34"/>
    </row>
    <row r="79" spans="1:3" ht="12.5">
      <c r="A79" s="34"/>
    </row>
    <row r="80" spans="1:3" ht="12.5">
      <c r="A80" s="34"/>
    </row>
    <row r="81" spans="1:1" ht="12.5">
      <c r="A81" s="34"/>
    </row>
    <row r="82" spans="1:1" ht="12.5">
      <c r="A82" s="34"/>
    </row>
    <row r="83" spans="1:1" ht="12.5">
      <c r="A83" s="34"/>
    </row>
    <row r="84" spans="1:1" ht="12.5">
      <c r="A84" s="34"/>
    </row>
  </sheetData>
  <phoneticPr fontId="23" type="noConversion"/>
  <dataValidations count="1">
    <dataValidation type="list" allowBlank="1" showErrorMessage="1" sqref="A2:A21" xr:uid="{00000000-0002-0000-0B00-000000000000}">
      <formula1>"TR#13,TR#14,TR#15,TR#16,TR#17,TR#18,TR#19,TR#20,TR#21,TR#22,TR#23,TR#24,TR#25"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D13"/>
  <sheetViews>
    <sheetView workbookViewId="0"/>
  </sheetViews>
  <sheetFormatPr defaultColWidth="12.6328125" defaultRowHeight="15.75" customHeight="1"/>
  <sheetData>
    <row r="1" spans="1:4" ht="15.75" customHeight="1">
      <c r="A1" s="16" t="s">
        <v>90</v>
      </c>
      <c r="B1" s="16" t="s">
        <v>58</v>
      </c>
      <c r="C1" s="16" t="s">
        <v>59</v>
      </c>
      <c r="D1" s="16" t="s">
        <v>232</v>
      </c>
    </row>
    <row r="2" spans="1:4" ht="15.75" customHeight="1">
      <c r="A2" s="95">
        <v>0.71458333333333335</v>
      </c>
      <c r="B2" s="16">
        <v>24.892002806529234</v>
      </c>
      <c r="C2" s="16">
        <v>121.56685922471206</v>
      </c>
      <c r="D2" s="16" t="s">
        <v>233</v>
      </c>
    </row>
    <row r="3" spans="1:4" ht="15.75" customHeight="1">
      <c r="A3" s="73">
        <v>0.69861111111111107</v>
      </c>
      <c r="B3" s="16">
        <v>24.892002381587066</v>
      </c>
      <c r="C3" s="16">
        <v>121.56686398071247</v>
      </c>
      <c r="D3" s="16" t="s">
        <v>233</v>
      </c>
    </row>
    <row r="4" spans="1:4" ht="15.75" customHeight="1">
      <c r="A4" s="102">
        <v>0.60486111111111107</v>
      </c>
      <c r="B4" s="16">
        <v>24.891960446470552</v>
      </c>
      <c r="C4" s="16">
        <v>121.56686455924837</v>
      </c>
      <c r="D4" s="16" t="s">
        <v>233</v>
      </c>
    </row>
    <row r="5" spans="1:4" ht="15.75" customHeight="1">
      <c r="A5" s="103">
        <v>0.53333333333333333</v>
      </c>
      <c r="B5" s="16">
        <v>24.892002806529234</v>
      </c>
      <c r="C5" s="16">
        <v>121.56685922471206</v>
      </c>
      <c r="D5" s="16" t="s">
        <v>234</v>
      </c>
    </row>
    <row r="6" spans="1:4" ht="15.75" customHeight="1">
      <c r="A6" s="104">
        <v>0.50347222222222221</v>
      </c>
      <c r="B6" s="16">
        <v>24.89196256013674</v>
      </c>
      <c r="C6" s="16">
        <v>121.5668674375989</v>
      </c>
      <c r="D6" s="16" t="s">
        <v>234</v>
      </c>
    </row>
    <row r="7" spans="1:4" ht="15.75" customHeight="1">
      <c r="A7" s="61">
        <v>0.47152777777777777</v>
      </c>
      <c r="B7" s="16">
        <v>24.891999605333382</v>
      </c>
      <c r="C7" s="16">
        <v>121.56687301664969</v>
      </c>
      <c r="D7" s="16" t="s">
        <v>233</v>
      </c>
    </row>
    <row r="8" spans="1:4" ht="15.75" customHeight="1">
      <c r="A8" s="68">
        <v>0.46458333333333335</v>
      </c>
      <c r="B8" s="16">
        <v>24.89195838803392</v>
      </c>
      <c r="C8" s="16">
        <v>121.56683824105501</v>
      </c>
      <c r="D8" s="16" t="s">
        <v>233</v>
      </c>
    </row>
    <row r="9" spans="1:4" ht="15.75" customHeight="1">
      <c r="A9" s="102">
        <v>0.41736111111111113</v>
      </c>
      <c r="B9" s="16">
        <v>24.891990275932287</v>
      </c>
      <c r="C9" s="16">
        <v>121.56687118360942</v>
      </c>
      <c r="D9" s="16" t="s">
        <v>233</v>
      </c>
    </row>
    <row r="10" spans="1:4" ht="15.75" customHeight="1">
      <c r="A10" s="105">
        <v>0.33124999999999999</v>
      </c>
      <c r="B10" s="16">
        <v>24.891967003919834</v>
      </c>
      <c r="C10" s="16">
        <v>121.56686415783562</v>
      </c>
      <c r="D10" s="16" t="s">
        <v>233</v>
      </c>
    </row>
    <row r="11" spans="1:4" ht="15.75" customHeight="1">
      <c r="A11" s="52">
        <v>0.25694444444444442</v>
      </c>
      <c r="B11" s="16">
        <v>24.891981574213737</v>
      </c>
      <c r="C11" s="16">
        <v>121.56686096407189</v>
      </c>
      <c r="D11" s="16" t="s">
        <v>233</v>
      </c>
    </row>
    <row r="12" spans="1:4" ht="15.75" customHeight="1">
      <c r="A12" s="99">
        <v>0.19375000000000001</v>
      </c>
      <c r="B12" s="16">
        <v>24.891981574213737</v>
      </c>
      <c r="C12" s="16">
        <v>121.56686096407189</v>
      </c>
      <c r="D12" s="16" t="s">
        <v>234</v>
      </c>
    </row>
    <row r="13" spans="1:4" ht="15.75" customHeight="1">
      <c r="A13" s="100">
        <v>0.19027777777777777</v>
      </c>
      <c r="B13" s="16">
        <v>24.892002381587066</v>
      </c>
      <c r="C13" s="16">
        <v>121.56686398071247</v>
      </c>
      <c r="D13" s="16" t="s">
        <v>234</v>
      </c>
    </row>
  </sheetData>
  <phoneticPr fontId="2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E13"/>
  <sheetViews>
    <sheetView workbookViewId="0"/>
  </sheetViews>
  <sheetFormatPr defaultColWidth="12.6328125" defaultRowHeight="15.75" customHeight="1"/>
  <sheetData>
    <row r="1" spans="1:5">
      <c r="A1" s="78" t="s">
        <v>110</v>
      </c>
      <c r="B1" s="16" t="s">
        <v>90</v>
      </c>
      <c r="C1" s="16" t="s">
        <v>58</v>
      </c>
      <c r="D1" s="16" t="s">
        <v>59</v>
      </c>
      <c r="E1" s="16" t="s">
        <v>232</v>
      </c>
    </row>
    <row r="2" spans="1:5" ht="15.75" customHeight="1">
      <c r="A2" s="65" t="s">
        <v>42</v>
      </c>
      <c r="B2" s="95">
        <v>0.70486111111111116</v>
      </c>
      <c r="C2" s="16">
        <v>24.891876465460371</v>
      </c>
      <c r="D2" s="16">
        <v>121.56700884005294</v>
      </c>
      <c r="E2" s="16" t="s">
        <v>233</v>
      </c>
    </row>
    <row r="3" spans="1:5" ht="15.75" customHeight="1">
      <c r="A3" s="72" t="s">
        <v>42</v>
      </c>
      <c r="B3" s="73">
        <v>0.68263888888888891</v>
      </c>
      <c r="C3" s="16">
        <v>24.891867454016804</v>
      </c>
      <c r="D3" s="16">
        <v>121.56699749382066</v>
      </c>
      <c r="E3" s="16" t="s">
        <v>233</v>
      </c>
    </row>
    <row r="4" spans="1:5" ht="15.75" customHeight="1">
      <c r="A4" s="51" t="s">
        <v>42</v>
      </c>
      <c r="B4" s="52">
        <v>0.64236111111111116</v>
      </c>
      <c r="C4" s="16">
        <v>24.891893201117373</v>
      </c>
      <c r="D4" s="16">
        <v>121.56699051051521</v>
      </c>
      <c r="E4" s="16" t="s">
        <v>233</v>
      </c>
    </row>
    <row r="5" spans="1:5" ht="15.75" customHeight="1">
      <c r="A5" s="65" t="s">
        <v>42</v>
      </c>
      <c r="B5" s="98">
        <v>0.5180555555555556</v>
      </c>
      <c r="C5" s="16">
        <v>24.891876431737671</v>
      </c>
      <c r="D5" s="16">
        <v>121.56701179386658</v>
      </c>
      <c r="E5" s="16" t="s">
        <v>234</v>
      </c>
    </row>
    <row r="6" spans="1:5" ht="15.75" customHeight="1">
      <c r="A6" s="65" t="s">
        <v>42</v>
      </c>
      <c r="B6" s="99">
        <v>0.51249999999999996</v>
      </c>
      <c r="C6" s="16">
        <v>24.89189744781411</v>
      </c>
      <c r="D6" s="16">
        <v>121.56697810150496</v>
      </c>
      <c r="E6" s="16" t="s">
        <v>234</v>
      </c>
    </row>
    <row r="7" spans="1:5" ht="15.75" customHeight="1">
      <c r="A7" s="65" t="s">
        <v>42</v>
      </c>
      <c r="B7" s="105">
        <v>0.47847222222222224</v>
      </c>
      <c r="C7" s="16">
        <v>24.891893272003699</v>
      </c>
      <c r="D7" s="16">
        <v>121.56700078462873</v>
      </c>
      <c r="E7" s="16" t="s">
        <v>233</v>
      </c>
    </row>
    <row r="8" spans="1:5" ht="15.75" customHeight="1">
      <c r="A8" s="65" t="s">
        <v>42</v>
      </c>
      <c r="B8" s="52">
        <v>0.4597222222222222</v>
      </c>
      <c r="C8" s="16">
        <v>24.891855648615053</v>
      </c>
      <c r="D8" s="16">
        <v>121.56701468655262</v>
      </c>
      <c r="E8" s="16" t="s">
        <v>233</v>
      </c>
    </row>
    <row r="9" spans="1:5" ht="15.75" customHeight="1">
      <c r="A9" s="65" t="s">
        <v>42</v>
      </c>
      <c r="B9" s="52">
        <v>0.45416666666666666</v>
      </c>
      <c r="C9" s="16">
        <v>24.891883215090612</v>
      </c>
      <c r="D9" s="16">
        <v>121.56703022146145</v>
      </c>
      <c r="E9" s="16" t="s">
        <v>233</v>
      </c>
    </row>
    <row r="10" spans="1:5" ht="15.75" customHeight="1">
      <c r="A10" s="65" t="s">
        <v>42</v>
      </c>
      <c r="B10" s="66">
        <v>0.30208333333333331</v>
      </c>
      <c r="C10" s="16">
        <v>24.89188529596489</v>
      </c>
      <c r="D10" s="16">
        <v>121.56698073020036</v>
      </c>
      <c r="E10" s="16" t="s">
        <v>233</v>
      </c>
    </row>
    <row r="11" spans="1:5" ht="15.75" customHeight="1">
      <c r="A11" s="65" t="s">
        <v>42</v>
      </c>
      <c r="B11" s="52">
        <v>0.26874999999999999</v>
      </c>
      <c r="C11" s="16">
        <v>24.891877359180519</v>
      </c>
      <c r="D11" s="16">
        <v>121.5670114248955</v>
      </c>
      <c r="E11" s="16" t="s">
        <v>233</v>
      </c>
    </row>
    <row r="12" spans="1:5" ht="15.75" customHeight="1">
      <c r="A12" s="65" t="s">
        <v>42</v>
      </c>
      <c r="B12" s="99">
        <v>0.1736111111111111</v>
      </c>
      <c r="C12" s="16">
        <v>24.891875925195464</v>
      </c>
      <c r="D12" s="16">
        <v>121.56701218826277</v>
      </c>
      <c r="E12" s="16" t="s">
        <v>234</v>
      </c>
    </row>
    <row r="13" spans="1:5" ht="15.75" customHeight="1">
      <c r="A13" s="72" t="s">
        <v>42</v>
      </c>
      <c r="B13" s="100">
        <v>0.17222222222222222</v>
      </c>
      <c r="C13" s="16">
        <v>24.89185848394159</v>
      </c>
      <c r="D13" s="16">
        <v>121.56701032133823</v>
      </c>
      <c r="E13" s="16" t="s">
        <v>234</v>
      </c>
    </row>
  </sheetData>
  <phoneticPr fontId="23" type="noConversion"/>
  <dataValidations count="1">
    <dataValidation type="list" allowBlank="1" showErrorMessage="1" sqref="A2:A13" xr:uid="{00000000-0002-0000-0D00-000000000000}">
      <formula1>"TR#13,TR#14,TR#15,TR#16,TR#17,TR#18,TR#19,TR#20,TR#21,TR#22,TR#23,TR#24,TR#25"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E10"/>
  <sheetViews>
    <sheetView workbookViewId="0"/>
  </sheetViews>
  <sheetFormatPr defaultColWidth="12.6328125" defaultRowHeight="15.75" customHeight="1"/>
  <sheetData>
    <row r="1" spans="1:5">
      <c r="A1" s="78" t="s">
        <v>110</v>
      </c>
      <c r="B1" s="16" t="s">
        <v>90</v>
      </c>
      <c r="C1" s="16" t="s">
        <v>58</v>
      </c>
      <c r="D1" s="16" t="s">
        <v>59</v>
      </c>
      <c r="E1" s="16" t="s">
        <v>232</v>
      </c>
    </row>
    <row r="2" spans="1:5" ht="15.75" customHeight="1">
      <c r="A2" s="65" t="s">
        <v>44</v>
      </c>
      <c r="B2" s="95">
        <v>0.70972222222222225</v>
      </c>
      <c r="C2" s="16">
        <v>24.891896753612912</v>
      </c>
      <c r="D2" s="16">
        <v>121.56695500315455</v>
      </c>
      <c r="E2" s="16" t="s">
        <v>233</v>
      </c>
    </row>
    <row r="3" spans="1:5" ht="15.75" customHeight="1">
      <c r="A3" s="51" t="s">
        <v>44</v>
      </c>
      <c r="B3" s="102">
        <v>0.61458333333333337</v>
      </c>
      <c r="C3" s="16">
        <v>24.891906255478503</v>
      </c>
      <c r="D3" s="16">
        <v>121.5669281871329</v>
      </c>
      <c r="E3" s="16" t="s">
        <v>233</v>
      </c>
    </row>
    <row r="4" spans="1:5" ht="15.75" customHeight="1">
      <c r="A4" s="65" t="s">
        <v>44</v>
      </c>
      <c r="B4" s="104">
        <v>0.51736111111111116</v>
      </c>
      <c r="C4" s="16">
        <v>24.891905705192098</v>
      </c>
      <c r="D4" s="16">
        <v>121.5669368906234</v>
      </c>
      <c r="E4" s="16" t="s">
        <v>234</v>
      </c>
    </row>
    <row r="5" spans="1:5" ht="15.75" customHeight="1">
      <c r="A5" s="65" t="s">
        <v>44</v>
      </c>
      <c r="B5" s="106">
        <v>0.48541666666666666</v>
      </c>
      <c r="C5" s="16">
        <v>24.891902864961548</v>
      </c>
      <c r="D5" s="16">
        <v>121.56694221821766</v>
      </c>
      <c r="E5" s="16" t="s">
        <v>234</v>
      </c>
    </row>
    <row r="6" spans="1:5" ht="15.75" customHeight="1">
      <c r="A6" s="65" t="s">
        <v>44</v>
      </c>
      <c r="B6" s="102">
        <v>0.44722222222222224</v>
      </c>
      <c r="C6" s="16">
        <v>24.891913100216765</v>
      </c>
      <c r="D6" s="16">
        <v>121.56693575963884</v>
      </c>
      <c r="E6" s="16" t="s">
        <v>233</v>
      </c>
    </row>
    <row r="7" spans="1:5" ht="15.75" customHeight="1">
      <c r="A7" s="65" t="s">
        <v>44</v>
      </c>
      <c r="B7" s="107">
        <v>0.31041666666666667</v>
      </c>
      <c r="C7" s="16">
        <v>24.891900152603235</v>
      </c>
      <c r="D7" s="16">
        <v>121.56693989152357</v>
      </c>
      <c r="E7" s="16" t="s">
        <v>233</v>
      </c>
    </row>
    <row r="8" spans="1:5" ht="15.75" customHeight="1">
      <c r="A8" s="65" t="s">
        <v>44</v>
      </c>
      <c r="B8" s="102">
        <v>0.25972222222222224</v>
      </c>
      <c r="C8" s="16">
        <v>24.891911395139392</v>
      </c>
      <c r="D8" s="16">
        <v>121.56695184028379</v>
      </c>
      <c r="E8" s="16" t="s">
        <v>233</v>
      </c>
    </row>
    <row r="9" spans="1:5" ht="15.75" customHeight="1">
      <c r="A9" s="65" t="s">
        <v>44</v>
      </c>
      <c r="B9" s="99">
        <v>0.18680555555555556</v>
      </c>
      <c r="C9" s="16">
        <v>24.891911395139392</v>
      </c>
      <c r="D9" s="16">
        <v>121.56695184028379</v>
      </c>
      <c r="E9" s="16" t="s">
        <v>234</v>
      </c>
    </row>
    <row r="10" spans="1:5" ht="15.75" customHeight="1">
      <c r="A10" s="65" t="s">
        <v>44</v>
      </c>
      <c r="B10" s="101">
        <v>4.791666666666667E-2</v>
      </c>
      <c r="C10" s="16">
        <v>24.89190900728584</v>
      </c>
      <c r="D10" s="16">
        <v>121.5669308789701</v>
      </c>
      <c r="E10" s="16" t="s">
        <v>234</v>
      </c>
    </row>
  </sheetData>
  <phoneticPr fontId="23" type="noConversion"/>
  <dataValidations count="1">
    <dataValidation type="list" allowBlank="1" showErrorMessage="1" sqref="A2:A10" xr:uid="{00000000-0002-0000-0E00-000000000000}">
      <formula1>"TR#13,TR#14,TR#15,TR#16,TR#17,TR#18,TR#19,TR#20,TR#21,TR#22,TR#23,TR#24,TR#25"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E11"/>
  <sheetViews>
    <sheetView workbookViewId="0"/>
  </sheetViews>
  <sheetFormatPr defaultColWidth="12.6328125" defaultRowHeight="15.75" customHeight="1"/>
  <sheetData>
    <row r="1" spans="1:5">
      <c r="A1" s="78" t="s">
        <v>110</v>
      </c>
      <c r="B1" s="16" t="s">
        <v>90</v>
      </c>
      <c r="C1" s="16" t="s">
        <v>58</v>
      </c>
      <c r="D1" s="16" t="s">
        <v>59</v>
      </c>
      <c r="E1" s="16" t="s">
        <v>232</v>
      </c>
    </row>
    <row r="2" spans="1:5" ht="15.75" customHeight="1">
      <c r="A2" s="65" t="s">
        <v>46</v>
      </c>
      <c r="B2" s="95">
        <v>0.72083333333333333</v>
      </c>
      <c r="C2" s="16">
        <v>24.891974431156299</v>
      </c>
      <c r="D2" s="16">
        <v>121.56693474267357</v>
      </c>
      <c r="E2" s="16" t="s">
        <v>233</v>
      </c>
    </row>
    <row r="3" spans="1:5" ht="15.75" customHeight="1">
      <c r="A3" s="51" t="s">
        <v>46</v>
      </c>
      <c r="B3" s="52">
        <v>0.6694444444444444</v>
      </c>
      <c r="C3" s="16">
        <v>24.891975820344751</v>
      </c>
      <c r="D3" s="16">
        <v>121.56694883578892</v>
      </c>
      <c r="E3" s="16" t="s">
        <v>233</v>
      </c>
    </row>
    <row r="4" spans="1:5" ht="15.75" customHeight="1">
      <c r="A4" s="65" t="s">
        <v>46</v>
      </c>
      <c r="B4" s="101">
        <v>0.53402777777777777</v>
      </c>
      <c r="C4" s="16">
        <v>24.891975087079999</v>
      </c>
      <c r="D4" s="16">
        <v>121.56693963263095</v>
      </c>
      <c r="E4" s="16" t="s">
        <v>234</v>
      </c>
    </row>
    <row r="5" spans="1:5" ht="15.75" customHeight="1">
      <c r="A5" s="65" t="s">
        <v>46</v>
      </c>
      <c r="B5" s="99">
        <v>0.49305555555555558</v>
      </c>
      <c r="C5" s="16">
        <v>24.891979260815489</v>
      </c>
      <c r="D5" s="16">
        <v>121.56694956265989</v>
      </c>
      <c r="E5" s="16" t="s">
        <v>234</v>
      </c>
    </row>
    <row r="6" spans="1:5" ht="15.75" customHeight="1">
      <c r="A6" s="72" t="s">
        <v>46</v>
      </c>
      <c r="B6" s="73">
        <v>0.48055555555555557</v>
      </c>
      <c r="C6" s="16">
        <v>24.89197720676847</v>
      </c>
      <c r="D6" s="16">
        <v>121.56693968394852</v>
      </c>
      <c r="E6" s="16" t="s">
        <v>233</v>
      </c>
    </row>
    <row r="7" spans="1:5" ht="15.75" customHeight="1">
      <c r="A7" s="65" t="s">
        <v>46</v>
      </c>
      <c r="B7" s="105">
        <v>0.47430555555555554</v>
      </c>
      <c r="C7" s="16">
        <v>24.891976529423143</v>
      </c>
      <c r="D7" s="16">
        <v>121.56695324099822</v>
      </c>
      <c r="E7" s="16" t="s">
        <v>233</v>
      </c>
    </row>
    <row r="8" spans="1:5" ht="15.75" customHeight="1">
      <c r="A8" s="65" t="s">
        <v>46</v>
      </c>
      <c r="B8" s="52">
        <v>0.44097222222222221</v>
      </c>
      <c r="C8" s="16">
        <v>24.891936750774136</v>
      </c>
      <c r="D8" s="16">
        <v>121.56696482967739</v>
      </c>
      <c r="E8" s="16" t="s">
        <v>233</v>
      </c>
    </row>
    <row r="9" spans="1:5" ht="15.75" customHeight="1">
      <c r="A9" s="65" t="s">
        <v>46</v>
      </c>
      <c r="B9" s="105">
        <v>0.34027777777777779</v>
      </c>
      <c r="C9" s="16">
        <v>24.891982692404667</v>
      </c>
      <c r="D9" s="16">
        <v>121.56695752740245</v>
      </c>
      <c r="E9" s="16" t="s">
        <v>233</v>
      </c>
    </row>
    <row r="10" spans="1:5" ht="15.75" customHeight="1">
      <c r="A10" s="65" t="s">
        <v>46</v>
      </c>
      <c r="B10" s="52">
        <v>0.25208333333333333</v>
      </c>
      <c r="C10" s="16">
        <v>24.891981938571938</v>
      </c>
      <c r="D10" s="16">
        <v>121.56693436377719</v>
      </c>
      <c r="E10" s="16" t="s">
        <v>233</v>
      </c>
    </row>
    <row r="11" spans="1:5" ht="15.75" customHeight="1">
      <c r="A11" s="65" t="s">
        <v>46</v>
      </c>
      <c r="B11" s="99">
        <v>0.1986111111111111</v>
      </c>
      <c r="C11" s="16">
        <v>24.891981938571938</v>
      </c>
      <c r="D11" s="16">
        <v>121.56693436377719</v>
      </c>
      <c r="E11" s="16" t="s">
        <v>234</v>
      </c>
    </row>
  </sheetData>
  <phoneticPr fontId="23" type="noConversion"/>
  <dataValidations count="1">
    <dataValidation type="list" allowBlank="1" showErrorMessage="1" sqref="A2:A11" xr:uid="{00000000-0002-0000-0F00-000000000000}">
      <formula1>"TR#13,TR#14,TR#15,TR#16,TR#17,TR#18,TR#19,TR#20,TR#21,TR#22,TR#23,TR#24,TR#25"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D1"/>
  <sheetViews>
    <sheetView workbookViewId="0"/>
  </sheetViews>
  <sheetFormatPr defaultColWidth="12.6328125" defaultRowHeight="15.75" customHeight="1"/>
  <sheetData>
    <row r="1" spans="1:4">
      <c r="A1" s="78" t="s">
        <v>110</v>
      </c>
      <c r="B1" s="16" t="s">
        <v>90</v>
      </c>
      <c r="C1" s="16" t="s">
        <v>58</v>
      </c>
      <c r="D1" s="16" t="s">
        <v>59</v>
      </c>
    </row>
  </sheetData>
  <phoneticPr fontId="2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R49"/>
  <sheetViews>
    <sheetView workbookViewId="0"/>
  </sheetViews>
  <sheetFormatPr defaultColWidth="12.6328125" defaultRowHeight="15.75" customHeight="1"/>
  <sheetData>
    <row r="1" spans="1:18">
      <c r="A1" s="78" t="s">
        <v>109</v>
      </c>
      <c r="B1" s="78" t="s">
        <v>110</v>
      </c>
      <c r="C1" s="78" t="s">
        <v>111</v>
      </c>
      <c r="D1" s="78" t="s">
        <v>54</v>
      </c>
      <c r="E1" s="161" t="s">
        <v>235</v>
      </c>
      <c r="F1" s="121"/>
      <c r="G1" s="28" t="s">
        <v>117</v>
      </c>
      <c r="H1" s="28" t="s">
        <v>55</v>
      </c>
      <c r="I1" s="108" t="s">
        <v>58</v>
      </c>
      <c r="J1" s="108" t="s">
        <v>59</v>
      </c>
      <c r="K1" s="109"/>
      <c r="L1" s="109"/>
      <c r="M1" s="109" t="s">
        <v>52</v>
      </c>
      <c r="N1" s="78" t="s">
        <v>53</v>
      </c>
    </row>
    <row r="2" spans="1:18">
      <c r="A2" s="80"/>
      <c r="B2" s="80"/>
      <c r="C2" s="52"/>
      <c r="D2" s="80"/>
      <c r="E2" s="152"/>
      <c r="F2" s="121"/>
      <c r="G2" s="35"/>
      <c r="H2" s="35"/>
      <c r="I2" s="34"/>
      <c r="J2" s="34"/>
      <c r="K2" s="80"/>
      <c r="L2" s="80"/>
      <c r="M2" s="80"/>
      <c r="N2" s="80"/>
      <c r="P2" s="19" t="s">
        <v>51</v>
      </c>
      <c r="Q2" s="16" t="s">
        <v>58</v>
      </c>
      <c r="R2" s="16" t="s">
        <v>59</v>
      </c>
    </row>
    <row r="3" spans="1:18" ht="15.75" customHeight="1">
      <c r="A3" s="80"/>
      <c r="B3" s="80"/>
      <c r="C3" s="95"/>
      <c r="D3" s="80"/>
      <c r="E3" s="152"/>
      <c r="F3" s="121"/>
      <c r="G3" s="35"/>
      <c r="H3" s="35"/>
      <c r="I3" s="34"/>
      <c r="J3" s="34"/>
      <c r="K3" s="80"/>
      <c r="L3" s="80"/>
      <c r="M3" s="80"/>
      <c r="N3" s="80"/>
      <c r="P3" s="110">
        <v>1</v>
      </c>
      <c r="Q3" s="16">
        <v>24.892240000000001</v>
      </c>
      <c r="R3" s="16">
        <v>121.56713000000001</v>
      </c>
    </row>
    <row r="4" spans="1:18" ht="15.75" customHeight="1">
      <c r="A4" s="80"/>
      <c r="B4" s="80"/>
      <c r="C4" s="95"/>
      <c r="D4" s="80"/>
      <c r="E4" s="152"/>
      <c r="F4" s="121"/>
      <c r="G4" s="35"/>
      <c r="H4" s="35"/>
      <c r="I4" s="34"/>
      <c r="J4" s="34"/>
      <c r="K4" s="35"/>
      <c r="L4" s="35"/>
      <c r="M4" s="35"/>
      <c r="N4" s="35"/>
      <c r="P4" s="29">
        <v>2</v>
      </c>
      <c r="Q4" s="16">
        <v>24.892057965667426</v>
      </c>
      <c r="R4" s="16">
        <v>121.56695555448128</v>
      </c>
    </row>
    <row r="5" spans="1:18" ht="15.75" customHeight="1">
      <c r="A5" s="80"/>
      <c r="B5" s="80"/>
      <c r="C5" s="95"/>
      <c r="D5" s="80"/>
      <c r="E5" s="152"/>
      <c r="F5" s="121"/>
      <c r="G5" s="35"/>
      <c r="H5" s="35"/>
      <c r="I5" s="34"/>
      <c r="J5" s="34"/>
      <c r="K5" s="80"/>
      <c r="L5" s="80"/>
      <c r="M5" s="80"/>
      <c r="N5" s="80"/>
      <c r="P5" s="29">
        <v>4</v>
      </c>
      <c r="Q5" s="16">
        <v>24.892047073872735</v>
      </c>
      <c r="R5" s="16">
        <v>121.56692068294394</v>
      </c>
    </row>
    <row r="6" spans="1:18" ht="15.75" customHeight="1">
      <c r="A6" s="80"/>
      <c r="B6" s="80"/>
      <c r="C6" s="95"/>
      <c r="D6" s="80"/>
      <c r="E6" s="152"/>
      <c r="F6" s="121"/>
      <c r="G6" s="35"/>
      <c r="H6" s="35"/>
      <c r="I6" s="34"/>
      <c r="J6" s="34"/>
      <c r="K6" s="80"/>
      <c r="L6" s="80"/>
      <c r="M6" s="80"/>
      <c r="N6" s="80"/>
      <c r="P6" s="29">
        <v>5</v>
      </c>
      <c r="Q6" s="16">
        <v>24.891922644637898</v>
      </c>
      <c r="R6" s="16">
        <v>121.56688868517206</v>
      </c>
    </row>
    <row r="7" spans="1:18" ht="15.75" customHeight="1">
      <c r="A7" s="80"/>
      <c r="B7" s="80"/>
      <c r="C7" s="95"/>
      <c r="D7" s="80"/>
      <c r="E7" s="152"/>
      <c r="F7" s="121"/>
      <c r="G7" s="35"/>
      <c r="H7" s="35"/>
      <c r="I7" s="34"/>
      <c r="J7" s="34"/>
      <c r="K7" s="80"/>
      <c r="L7" s="80"/>
      <c r="M7" s="80"/>
      <c r="N7" s="80"/>
      <c r="P7" s="29">
        <v>8</v>
      </c>
      <c r="Q7" s="16">
        <v>24.891859184239056</v>
      </c>
      <c r="R7" s="16">
        <v>121.5669459611003</v>
      </c>
    </row>
    <row r="8" spans="1:18" ht="15.75" customHeight="1">
      <c r="A8" s="80"/>
      <c r="B8" s="80"/>
      <c r="C8" s="52"/>
      <c r="D8" s="80"/>
      <c r="E8" s="152"/>
      <c r="F8" s="121"/>
      <c r="G8" s="35"/>
      <c r="H8" s="35"/>
      <c r="I8" s="34"/>
      <c r="J8" s="34"/>
      <c r="K8" s="80"/>
      <c r="L8" s="80"/>
      <c r="M8" s="80"/>
      <c r="N8" s="80"/>
      <c r="P8" s="29">
        <v>9</v>
      </c>
      <c r="Q8" s="16">
        <v>24.89198890721298</v>
      </c>
      <c r="R8" s="16">
        <v>121.56717408208192</v>
      </c>
    </row>
    <row r="9" spans="1:18" ht="15.75" customHeight="1">
      <c r="A9" s="80"/>
      <c r="B9" s="80"/>
      <c r="C9" s="95"/>
      <c r="D9" s="80"/>
      <c r="E9" s="152"/>
      <c r="F9" s="121"/>
      <c r="G9" s="35"/>
      <c r="H9" s="35"/>
      <c r="I9" s="34"/>
      <c r="J9" s="34"/>
      <c r="K9" s="80"/>
      <c r="L9" s="80"/>
      <c r="M9" s="80"/>
      <c r="N9" s="80"/>
      <c r="P9" s="29">
        <v>11</v>
      </c>
      <c r="Q9" s="16">
        <v>24.892019174170411</v>
      </c>
      <c r="R9" s="16">
        <v>121.56715558666282</v>
      </c>
    </row>
    <row r="10" spans="1:18" ht="15.75" customHeight="1">
      <c r="A10" s="80"/>
      <c r="B10" s="80"/>
      <c r="C10" s="95"/>
      <c r="D10" s="80"/>
      <c r="E10" s="152"/>
      <c r="F10" s="121"/>
      <c r="G10" s="35"/>
      <c r="H10" s="35"/>
      <c r="I10" s="34"/>
      <c r="J10" s="34"/>
      <c r="K10" s="80"/>
      <c r="L10" s="80"/>
      <c r="M10" s="80"/>
      <c r="N10" s="80"/>
      <c r="P10" s="29">
        <v>12</v>
      </c>
      <c r="Q10" s="16">
        <v>24.891841951301583</v>
      </c>
      <c r="R10" s="16">
        <v>121.56719734016865</v>
      </c>
    </row>
    <row r="11" spans="1:18" ht="15.75" customHeight="1">
      <c r="A11" s="80"/>
      <c r="B11" s="80"/>
      <c r="C11" s="95"/>
      <c r="D11" s="80"/>
      <c r="E11" s="152"/>
      <c r="F11" s="121"/>
      <c r="G11" s="35"/>
      <c r="H11" s="35"/>
      <c r="I11" s="34"/>
      <c r="J11" s="34"/>
      <c r="K11" s="80"/>
      <c r="L11" s="80"/>
      <c r="M11" s="80"/>
      <c r="N11" s="80"/>
      <c r="P11" s="29">
        <v>14</v>
      </c>
      <c r="Q11" s="16">
        <v>24.891862286072993</v>
      </c>
      <c r="R11" s="16">
        <v>121.56714185556871</v>
      </c>
    </row>
    <row r="12" spans="1:18" ht="15.75" customHeight="1">
      <c r="A12" s="80"/>
      <c r="B12" s="80"/>
      <c r="C12" s="73"/>
      <c r="D12" s="39"/>
      <c r="E12" s="155"/>
      <c r="F12" s="121"/>
      <c r="G12" s="35"/>
      <c r="H12" s="35"/>
      <c r="I12" s="34"/>
      <c r="J12" s="34"/>
      <c r="K12" s="39"/>
      <c r="L12" s="39"/>
      <c r="M12" s="39"/>
      <c r="N12" s="39"/>
      <c r="P12" s="29">
        <v>16</v>
      </c>
      <c r="Q12" s="16">
        <v>24.891785716340902</v>
      </c>
      <c r="R12" s="16">
        <v>121.56718741907244</v>
      </c>
    </row>
    <row r="13" spans="1:18" ht="15.75" customHeight="1">
      <c r="A13" s="80"/>
      <c r="B13" s="111"/>
      <c r="C13" s="95"/>
      <c r="D13" s="80"/>
      <c r="E13" s="152"/>
      <c r="F13" s="121"/>
      <c r="G13" s="35"/>
      <c r="H13" s="35"/>
      <c r="I13" s="34"/>
      <c r="J13" s="34"/>
      <c r="K13" s="80"/>
      <c r="L13" s="80"/>
      <c r="M13" s="80"/>
      <c r="N13" s="80"/>
      <c r="P13" s="29">
        <v>18</v>
      </c>
      <c r="Q13" s="16">
        <v>24.891901242678415</v>
      </c>
      <c r="R13" s="16">
        <v>121.56687025172748</v>
      </c>
    </row>
    <row r="14" spans="1:18" ht="15.75" customHeight="1">
      <c r="A14" s="80"/>
      <c r="B14" s="80"/>
      <c r="C14" s="95"/>
      <c r="D14" s="80"/>
      <c r="E14" s="152"/>
      <c r="F14" s="121"/>
      <c r="G14" s="35"/>
      <c r="H14" s="35"/>
      <c r="I14" s="34"/>
      <c r="J14" s="34"/>
      <c r="K14" s="80"/>
      <c r="L14" s="80"/>
      <c r="M14" s="80"/>
      <c r="N14" s="80"/>
      <c r="P14" s="112">
        <v>20</v>
      </c>
      <c r="Q14" s="16">
        <v>24.891946430632579</v>
      </c>
      <c r="R14" s="16">
        <v>121.56683537041579</v>
      </c>
    </row>
    <row r="15" spans="1:18" ht="15.75" customHeight="1">
      <c r="A15" s="80"/>
      <c r="B15" s="80"/>
      <c r="C15" s="95"/>
      <c r="D15" s="80"/>
      <c r="E15" s="152"/>
      <c r="F15" s="121"/>
      <c r="G15" s="35"/>
      <c r="H15" s="35"/>
      <c r="I15" s="34"/>
      <c r="J15" s="34"/>
      <c r="K15" s="80"/>
      <c r="L15" s="80"/>
      <c r="M15" s="80"/>
      <c r="N15" s="80"/>
    </row>
    <row r="16" spans="1:18" ht="15.75" customHeight="1">
      <c r="A16" s="80"/>
      <c r="B16" s="80"/>
      <c r="C16" s="73"/>
      <c r="D16" s="39"/>
      <c r="E16" s="155"/>
      <c r="F16" s="121"/>
      <c r="G16" s="35"/>
      <c r="H16" s="35"/>
      <c r="I16" s="34"/>
      <c r="J16" s="34"/>
      <c r="K16" s="39"/>
      <c r="L16" s="39"/>
      <c r="M16" s="39"/>
      <c r="N16" s="39"/>
    </row>
    <row r="17" spans="1:14" ht="15.75" customHeight="1">
      <c r="A17" s="80"/>
      <c r="B17" s="80"/>
      <c r="C17" s="73"/>
      <c r="D17" s="39"/>
      <c r="E17" s="155"/>
      <c r="F17" s="121"/>
      <c r="G17" s="35"/>
      <c r="H17" s="35"/>
      <c r="I17" s="34"/>
      <c r="J17" s="34"/>
      <c r="K17" s="39"/>
      <c r="L17" s="39"/>
      <c r="M17" s="39"/>
      <c r="N17" s="39"/>
    </row>
    <row r="18" spans="1:14" ht="12.5">
      <c r="A18" s="80"/>
      <c r="B18" s="80"/>
      <c r="C18" s="73"/>
      <c r="D18" s="39"/>
      <c r="E18" s="155"/>
      <c r="F18" s="121"/>
      <c r="G18" s="35"/>
      <c r="H18" s="35"/>
      <c r="I18" s="34"/>
      <c r="J18" s="34"/>
      <c r="K18" s="39"/>
      <c r="L18" s="39"/>
      <c r="M18" s="39"/>
      <c r="N18" s="39"/>
    </row>
    <row r="19" spans="1:14" ht="12.5">
      <c r="A19" s="80"/>
      <c r="B19" s="80"/>
      <c r="C19" s="73"/>
      <c r="D19" s="39"/>
      <c r="E19" s="155"/>
      <c r="F19" s="121"/>
      <c r="G19" s="35"/>
      <c r="H19" s="35"/>
      <c r="I19" s="34"/>
      <c r="J19" s="34"/>
      <c r="K19" s="39"/>
      <c r="L19" s="39"/>
      <c r="M19" s="39"/>
      <c r="N19" s="39"/>
    </row>
    <row r="20" spans="1:14" ht="12.5">
      <c r="A20" s="80"/>
      <c r="B20" s="80"/>
      <c r="C20" s="73"/>
      <c r="D20" s="39"/>
      <c r="E20" s="155"/>
      <c r="F20" s="121"/>
      <c r="G20" s="35"/>
      <c r="H20" s="35"/>
      <c r="I20" s="34"/>
      <c r="J20" s="34"/>
      <c r="K20" s="39"/>
      <c r="L20" s="39"/>
      <c r="M20" s="39"/>
      <c r="N20" s="39"/>
    </row>
    <row r="21" spans="1:14" ht="12.5">
      <c r="A21" s="80"/>
      <c r="B21" s="80"/>
      <c r="C21" s="73"/>
      <c r="D21" s="39"/>
      <c r="E21" s="155"/>
      <c r="F21" s="121"/>
      <c r="G21" s="35"/>
      <c r="H21" s="35"/>
      <c r="I21" s="34"/>
      <c r="J21" s="34"/>
      <c r="K21" s="39"/>
      <c r="L21" s="39"/>
      <c r="M21" s="39"/>
      <c r="N21" s="39"/>
    </row>
    <row r="22" spans="1:14" ht="12.5">
      <c r="A22" s="80"/>
      <c r="B22" s="80"/>
      <c r="C22" s="73"/>
      <c r="D22" s="39"/>
      <c r="E22" s="155"/>
      <c r="F22" s="121"/>
      <c r="G22" s="35"/>
      <c r="H22" s="35"/>
      <c r="I22" s="34"/>
      <c r="J22" s="34"/>
      <c r="K22" s="39"/>
      <c r="L22" s="39"/>
      <c r="M22" s="39"/>
      <c r="N22" s="39"/>
    </row>
    <row r="23" spans="1:14" ht="12.5">
      <c r="A23" s="80"/>
      <c r="B23" s="80"/>
      <c r="C23" s="73"/>
      <c r="D23" s="39"/>
      <c r="E23" s="155"/>
      <c r="F23" s="121"/>
      <c r="G23" s="35"/>
      <c r="H23" s="35"/>
      <c r="I23" s="34"/>
      <c r="J23" s="34"/>
      <c r="K23" s="39"/>
      <c r="L23" s="39"/>
      <c r="M23" s="39"/>
      <c r="N23" s="39"/>
    </row>
    <row r="24" spans="1:14" ht="12.5">
      <c r="A24" s="80"/>
      <c r="B24" s="80"/>
      <c r="C24" s="73"/>
      <c r="D24" s="39"/>
      <c r="E24" s="155"/>
      <c r="F24" s="121"/>
      <c r="G24" s="35"/>
      <c r="H24" s="35"/>
      <c r="I24" s="34"/>
      <c r="J24" s="34"/>
      <c r="K24" s="39"/>
      <c r="L24" s="39"/>
      <c r="M24" s="39"/>
      <c r="N24" s="39"/>
    </row>
    <row r="25" spans="1:14" ht="12.5">
      <c r="A25" s="80"/>
      <c r="B25" s="80"/>
      <c r="C25" s="73"/>
      <c r="D25" s="39"/>
      <c r="E25" s="155"/>
      <c r="F25" s="121"/>
      <c r="G25" s="35"/>
      <c r="H25" s="35"/>
      <c r="I25" s="34"/>
      <c r="J25" s="34"/>
      <c r="K25" s="39"/>
      <c r="L25" s="39"/>
      <c r="M25" s="39"/>
      <c r="N25" s="39"/>
    </row>
    <row r="26" spans="1:14" ht="12.5">
      <c r="A26" s="80"/>
      <c r="B26" s="80"/>
      <c r="C26" s="73"/>
      <c r="D26" s="39"/>
      <c r="E26" s="155"/>
      <c r="F26" s="121"/>
      <c r="G26" s="35"/>
      <c r="H26" s="35"/>
      <c r="I26" s="34"/>
      <c r="J26" s="34"/>
      <c r="K26" s="39"/>
      <c r="L26" s="39"/>
      <c r="M26" s="39"/>
      <c r="N26" s="39"/>
    </row>
    <row r="27" spans="1:14" ht="12.5">
      <c r="A27" s="80"/>
      <c r="B27" s="80"/>
      <c r="C27" s="73"/>
      <c r="D27" s="39"/>
      <c r="E27" s="155"/>
      <c r="F27" s="121"/>
      <c r="G27" s="35"/>
      <c r="H27" s="35"/>
      <c r="I27" s="34"/>
      <c r="J27" s="34"/>
      <c r="K27" s="39"/>
      <c r="L27" s="39"/>
      <c r="M27" s="39"/>
      <c r="N27" s="39"/>
    </row>
    <row r="28" spans="1:14" ht="12.5">
      <c r="A28" s="80"/>
      <c r="B28" s="80"/>
      <c r="C28" s="73"/>
      <c r="D28" s="39"/>
      <c r="E28" s="155"/>
      <c r="F28" s="121"/>
      <c r="G28" s="35"/>
      <c r="H28" s="35"/>
      <c r="I28" s="34"/>
      <c r="J28" s="34"/>
      <c r="K28" s="39"/>
      <c r="L28" s="39"/>
      <c r="M28" s="39"/>
      <c r="N28" s="39"/>
    </row>
    <row r="29" spans="1:14" ht="12.5">
      <c r="A29" s="35"/>
      <c r="B29" s="80"/>
      <c r="C29" s="73"/>
      <c r="D29" s="39"/>
      <c r="E29" s="155"/>
      <c r="F29" s="121"/>
      <c r="G29" s="35"/>
      <c r="H29" s="35"/>
      <c r="I29" s="34"/>
      <c r="J29" s="34"/>
      <c r="K29" s="39"/>
      <c r="L29" s="39"/>
      <c r="M29" s="39"/>
      <c r="N29" s="39"/>
    </row>
    <row r="30" spans="1:14" ht="12.5">
      <c r="A30" s="35"/>
      <c r="B30" s="80"/>
      <c r="C30" s="73"/>
      <c r="D30" s="39"/>
      <c r="E30" s="155"/>
      <c r="F30" s="121"/>
      <c r="G30" s="35"/>
      <c r="H30" s="35"/>
      <c r="I30" s="34"/>
      <c r="J30" s="34"/>
      <c r="K30" s="39"/>
      <c r="L30" s="39"/>
      <c r="M30" s="39"/>
      <c r="N30" s="39"/>
    </row>
    <row r="31" spans="1:14" ht="12.5">
      <c r="A31" s="35"/>
      <c r="B31" s="80"/>
      <c r="C31" s="73"/>
      <c r="D31" s="39"/>
      <c r="E31" s="155"/>
      <c r="F31" s="121"/>
      <c r="G31" s="35"/>
      <c r="H31" s="35"/>
      <c r="I31" s="34"/>
      <c r="J31" s="34"/>
      <c r="K31" s="39"/>
      <c r="L31" s="39"/>
      <c r="M31" s="39"/>
      <c r="N31" s="39"/>
    </row>
    <row r="32" spans="1:14" ht="12.5">
      <c r="A32" s="35"/>
      <c r="B32" s="80"/>
      <c r="C32" s="73"/>
      <c r="D32" s="39"/>
      <c r="E32" s="155"/>
      <c r="F32" s="121"/>
      <c r="G32" s="35"/>
      <c r="H32" s="35"/>
      <c r="I32" s="34"/>
      <c r="J32" s="34"/>
      <c r="K32" s="39"/>
      <c r="L32" s="39"/>
      <c r="M32" s="39"/>
      <c r="N32" s="39"/>
    </row>
    <row r="33" spans="1:14" ht="12.5">
      <c r="A33" s="35"/>
      <c r="B33" s="80"/>
      <c r="C33" s="73"/>
      <c r="D33" s="39"/>
      <c r="E33" s="155"/>
      <c r="F33" s="121"/>
      <c r="G33" s="35"/>
      <c r="H33" s="35"/>
      <c r="I33" s="34"/>
      <c r="J33" s="34"/>
      <c r="K33" s="39"/>
      <c r="L33" s="39"/>
      <c r="M33" s="39"/>
      <c r="N33" s="39"/>
    </row>
    <row r="34" spans="1:14" ht="12.5">
      <c r="A34" s="35"/>
      <c r="B34" s="80"/>
      <c r="C34" s="73"/>
      <c r="D34" s="39"/>
      <c r="E34" s="155"/>
      <c r="F34" s="121"/>
      <c r="G34" s="35"/>
      <c r="H34" s="35"/>
      <c r="I34" s="34"/>
      <c r="J34" s="34"/>
      <c r="K34" s="39"/>
      <c r="L34" s="39"/>
      <c r="M34" s="39"/>
      <c r="N34" s="39"/>
    </row>
    <row r="35" spans="1:14" ht="12.5">
      <c r="A35" s="35"/>
      <c r="B35" s="80"/>
      <c r="C35" s="73"/>
      <c r="D35" s="39"/>
      <c r="E35" s="155"/>
      <c r="F35" s="121"/>
      <c r="G35" s="35"/>
      <c r="H35" s="35"/>
      <c r="I35" s="34"/>
      <c r="J35" s="34"/>
      <c r="K35" s="39"/>
      <c r="L35" s="39"/>
      <c r="M35" s="39"/>
      <c r="N35" s="39"/>
    </row>
    <row r="36" spans="1:14" ht="12.5">
      <c r="A36" s="35"/>
      <c r="B36" s="80"/>
      <c r="C36" s="73"/>
      <c r="D36" s="39"/>
      <c r="E36" s="155"/>
      <c r="F36" s="121"/>
      <c r="G36" s="35"/>
      <c r="H36" s="35"/>
      <c r="I36" s="34"/>
      <c r="J36" s="34"/>
      <c r="K36" s="39"/>
      <c r="L36" s="39"/>
      <c r="M36" s="39"/>
      <c r="N36" s="39"/>
    </row>
    <row r="37" spans="1:14" ht="12.5">
      <c r="A37" s="80"/>
      <c r="B37" s="80"/>
      <c r="C37" s="52"/>
      <c r="D37" s="80"/>
      <c r="E37" s="152"/>
      <c r="F37" s="121"/>
      <c r="G37" s="35"/>
      <c r="H37" s="35"/>
      <c r="I37" s="34"/>
      <c r="J37" s="34"/>
      <c r="K37" s="80"/>
      <c r="L37" s="80"/>
      <c r="M37" s="80"/>
      <c r="N37" s="80"/>
    </row>
    <row r="38" spans="1:14" ht="12.5">
      <c r="A38" s="80"/>
      <c r="B38" s="80"/>
      <c r="C38" s="95"/>
      <c r="D38" s="80"/>
      <c r="E38" s="152"/>
      <c r="F38" s="121"/>
      <c r="G38" s="35"/>
      <c r="H38" s="35"/>
      <c r="I38" s="34"/>
      <c r="J38" s="34"/>
      <c r="K38" s="80"/>
      <c r="L38" s="80"/>
      <c r="M38" s="80"/>
      <c r="N38" s="80"/>
    </row>
    <row r="39" spans="1:14" ht="12.5">
      <c r="A39" s="35"/>
      <c r="B39" s="80"/>
      <c r="C39" s="73"/>
      <c r="D39" s="39"/>
      <c r="E39" s="155"/>
      <c r="F39" s="121"/>
      <c r="G39" s="35"/>
      <c r="H39" s="35"/>
      <c r="I39" s="34"/>
      <c r="J39" s="34"/>
      <c r="K39" s="39"/>
      <c r="L39" s="39"/>
      <c r="M39" s="39"/>
      <c r="N39" s="39"/>
    </row>
    <row r="40" spans="1:14" ht="12.5">
      <c r="A40" s="35"/>
      <c r="B40" s="80"/>
      <c r="C40" s="73"/>
      <c r="D40" s="39"/>
      <c r="E40" s="155"/>
      <c r="F40" s="121"/>
      <c r="G40" s="35"/>
      <c r="H40" s="35"/>
      <c r="I40" s="34"/>
      <c r="J40" s="34"/>
      <c r="K40" s="39"/>
      <c r="L40" s="39"/>
      <c r="M40" s="39"/>
      <c r="N40" s="39"/>
    </row>
    <row r="41" spans="1:14" ht="12.5">
      <c r="A41" s="80"/>
      <c r="B41" s="80"/>
      <c r="C41" s="95"/>
      <c r="D41" s="80"/>
      <c r="E41" s="152"/>
      <c r="F41" s="121"/>
      <c r="G41" s="35"/>
      <c r="H41" s="35"/>
      <c r="I41" s="34"/>
      <c r="J41" s="34"/>
      <c r="K41" s="80"/>
      <c r="L41" s="80"/>
      <c r="M41" s="80"/>
      <c r="N41" s="80"/>
    </row>
    <row r="42" spans="1:14" ht="12.5">
      <c r="A42" s="80"/>
      <c r="B42" s="80"/>
      <c r="C42" s="95"/>
      <c r="D42" s="80"/>
      <c r="E42" s="152"/>
      <c r="F42" s="121"/>
      <c r="G42" s="35"/>
      <c r="H42" s="35"/>
      <c r="I42" s="34"/>
      <c r="J42" s="34"/>
      <c r="K42" s="80"/>
      <c r="L42" s="80"/>
      <c r="M42" s="80"/>
      <c r="N42" s="80"/>
    </row>
    <row r="43" spans="1:14" ht="12.5">
      <c r="A43" s="80"/>
      <c r="B43" s="80"/>
      <c r="C43" s="95"/>
      <c r="D43" s="80"/>
      <c r="E43" s="152"/>
      <c r="F43" s="121"/>
      <c r="G43" s="35"/>
      <c r="H43" s="35"/>
      <c r="I43" s="34"/>
      <c r="J43" s="34"/>
      <c r="K43" s="80"/>
      <c r="L43" s="80"/>
      <c r="M43" s="80"/>
      <c r="N43" s="80"/>
    </row>
    <row r="44" spans="1:14" ht="12.5">
      <c r="A44" s="80"/>
      <c r="B44" s="80"/>
      <c r="C44" s="95"/>
      <c r="D44" s="80"/>
      <c r="E44" s="152"/>
      <c r="F44" s="121"/>
      <c r="G44" s="35"/>
      <c r="H44" s="35"/>
      <c r="I44" s="34"/>
      <c r="J44" s="34"/>
      <c r="K44" s="80"/>
      <c r="L44" s="80"/>
      <c r="M44" s="80"/>
      <c r="N44" s="80"/>
    </row>
    <row r="45" spans="1:14" ht="12.5">
      <c r="A45" s="80"/>
      <c r="B45" s="80"/>
      <c r="C45" s="95"/>
      <c r="D45" s="80"/>
      <c r="E45" s="152"/>
      <c r="F45" s="121"/>
      <c r="G45" s="35"/>
      <c r="H45" s="35"/>
      <c r="I45" s="34"/>
      <c r="J45" s="34"/>
      <c r="K45" s="80"/>
      <c r="L45" s="80"/>
      <c r="M45" s="80"/>
      <c r="N45" s="80"/>
    </row>
    <row r="46" spans="1:14" ht="12.5">
      <c r="A46" s="80"/>
      <c r="B46" s="80"/>
      <c r="C46" s="73"/>
      <c r="D46" s="39"/>
      <c r="E46" s="155"/>
      <c r="F46" s="121"/>
      <c r="G46" s="35"/>
      <c r="H46" s="35"/>
      <c r="I46" s="34"/>
      <c r="J46" s="34"/>
      <c r="K46" s="39"/>
      <c r="L46" s="39"/>
      <c r="M46" s="39"/>
      <c r="N46" s="39"/>
    </row>
    <row r="47" spans="1:14" ht="12.5">
      <c r="A47" s="80"/>
      <c r="B47" s="80"/>
      <c r="C47" s="73"/>
      <c r="D47" s="39"/>
      <c r="E47" s="155"/>
      <c r="F47" s="121"/>
      <c r="G47" s="35"/>
      <c r="H47" s="35"/>
      <c r="I47" s="34"/>
      <c r="J47" s="34"/>
      <c r="K47" s="39"/>
      <c r="L47" s="39"/>
      <c r="M47" s="39"/>
      <c r="N47" s="39"/>
    </row>
    <row r="48" spans="1:14" ht="12.5">
      <c r="A48" s="80"/>
      <c r="B48" s="80"/>
      <c r="C48" s="95"/>
      <c r="D48" s="80"/>
      <c r="E48" s="152"/>
      <c r="F48" s="121"/>
      <c r="G48" s="35"/>
      <c r="H48" s="35"/>
      <c r="I48" s="34"/>
      <c r="J48" s="34"/>
      <c r="K48" s="80"/>
      <c r="L48" s="80"/>
      <c r="M48" s="80"/>
      <c r="N48" s="80"/>
    </row>
    <row r="49" spans="1:14" ht="12.5">
      <c r="A49" s="80"/>
      <c r="B49" s="80"/>
      <c r="C49" s="73"/>
      <c r="D49" s="39"/>
      <c r="E49" s="155"/>
      <c r="F49" s="121"/>
      <c r="G49" s="35"/>
      <c r="H49" s="35"/>
      <c r="I49" s="34"/>
      <c r="J49" s="34"/>
      <c r="K49" s="39"/>
      <c r="L49" s="39"/>
      <c r="M49" s="39"/>
      <c r="N49" s="39"/>
    </row>
  </sheetData>
  <mergeCells count="49">
    <mergeCell ref="E48:F48"/>
    <mergeCell ref="E49:F49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E16:F16"/>
    <mergeCell ref="E17:F17"/>
    <mergeCell ref="E18:F18"/>
    <mergeCell ref="E19:F19"/>
    <mergeCell ref="E20:F20"/>
    <mergeCell ref="E11:F11"/>
    <mergeCell ref="E12:F12"/>
    <mergeCell ref="E13:F13"/>
    <mergeCell ref="E14:F14"/>
    <mergeCell ref="E15:F15"/>
    <mergeCell ref="E6:F6"/>
    <mergeCell ref="E7:F7"/>
    <mergeCell ref="E8:F8"/>
    <mergeCell ref="E9:F9"/>
    <mergeCell ref="E10:F10"/>
    <mergeCell ref="E1:F1"/>
    <mergeCell ref="E2:F2"/>
    <mergeCell ref="E3:F3"/>
    <mergeCell ref="E4:F4"/>
    <mergeCell ref="E5:F5"/>
  </mergeCells>
  <phoneticPr fontId="23" type="noConversion"/>
  <dataValidations count="4">
    <dataValidation type="list" allowBlank="1" showErrorMessage="1" sqref="B2" xr:uid="{00000000-0002-0000-1100-000000000000}">
      <formula1>"TR#01,TR#02,TR#03,TR#04,TR#05"</formula1>
    </dataValidation>
    <dataValidation type="list" allowBlank="1" showErrorMessage="1" sqref="B37" xr:uid="{00000000-0002-0000-1100-000001000000}">
      <formula1>"TR#08"</formula1>
    </dataValidation>
    <dataValidation type="list" allowBlank="1" showErrorMessage="1" sqref="B4" xr:uid="{00000000-0002-0000-1100-000002000000}">
      <formula1>"TR#01,TR#02,TR#03,TR#04,TR#05,TR#06,TR#07,TR#08,TR#09,TR#10,TR#11,TR#12,TR#02 / 05"</formula1>
    </dataValidation>
    <dataValidation type="list" allowBlank="1" showErrorMessage="1" sqref="B3 B5:B36 B38:B49" xr:uid="{00000000-0002-0000-1100-000003000000}">
      <formula1>"TR#01,TR#02,TR#03,TR#04,TR#05,TR#06,TR#07,TR#08,TR#09,TR#10,TR#11,TR#12"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Morphology</vt:lpstr>
      <vt:lpstr>CR Tagged Location</vt:lpstr>
      <vt:lpstr>CR Location</vt:lpstr>
      <vt:lpstr>Tag  ID condition</vt:lpstr>
      <vt:lpstr>track 02總</vt:lpstr>
      <vt:lpstr>「track 02」locatin</vt:lpstr>
      <vt:lpstr>「「track 02總」編輯</vt:lpstr>
      <vt:lpstr>random data</vt:lpstr>
      <vt:lpstr>「「「track 02總」編輯」的副本</vt:lpstr>
      <vt:lpstr>track 02 time definition</vt:lpstr>
      <vt:lpstr>TR other</vt:lpstr>
      <vt:lpstr>TR18</vt:lpstr>
      <vt:lpstr>TR21</vt:lpstr>
      <vt:lpstr>TR22</vt:lpstr>
      <vt:lpstr>TR23</vt:lpstr>
      <vt:lpstr>TR24</vt:lpstr>
      <vt:lpstr>工作表36</vt:lpstr>
      <vt:lpstr>home range 代入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2025-12-11T06:23:54Z</dcterms:modified>
</cp:coreProperties>
</file>